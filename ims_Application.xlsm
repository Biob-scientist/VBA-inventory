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Oluwasola\Desktop\VBA_inventory\"/>
    </mc:Choice>
  </mc:AlternateContent>
  <xr:revisionPtr revIDLastSave="0" documentId="13_ncr:1_{0EB2BA15-0C4D-4305-9739-1407B948B82C}" xr6:coauthVersionLast="47" xr6:coauthVersionMax="47" xr10:uidLastSave="{00000000-0000-0000-0000-000000000000}"/>
  <bookViews>
    <workbookView xWindow="-108" yWindow="-108" windowWidth="23256" windowHeight="12576" firstSheet="18" activeTab="24" xr2:uid="{CB48C9D4-9AAF-4B10-A493-5AC4B560267D}"/>
  </bookViews>
  <sheets>
    <sheet name="Database" sheetId="1" r:id="rId1"/>
    <sheet name="Alert" sheetId="15" r:id="rId2"/>
    <sheet name="Show_alert" sheetId="17" r:id="rId3"/>
    <sheet name="Stockup_log" sheetId="10" r:id="rId4"/>
    <sheet name="Stockup_logi" sheetId="123" r:id="rId5"/>
    <sheet name="Plot_stockup" sheetId="20" r:id="rId6"/>
    <sheet name="plot_table" sheetId="37" r:id="rId7"/>
    <sheet name="Requisition_log" sheetId="12" r:id="rId8"/>
    <sheet name="Center_requisition" sheetId="174" r:id="rId9"/>
    <sheet name="Requisition_logi" sheetId="132" r:id="rId10"/>
    <sheet name="Requisition_temp" sheetId="13" r:id="rId11"/>
    <sheet name="Stockup_temp" sheetId="11" r:id="rId12"/>
    <sheet name="Pending_cost" sheetId="39" r:id="rId13"/>
    <sheet name="Blanks" sheetId="40" r:id="rId14"/>
    <sheet name="plot_table2" sheetId="42" r:id="rId15"/>
    <sheet name="Master_list" sheetId="8" r:id="rId16"/>
    <sheet name="Order_status" sheetId="16" r:id="rId17"/>
    <sheet name="Show_OrderSatus" sheetId="18" r:id="rId18"/>
    <sheet name="Filter_ground" sheetId="19" r:id="rId19"/>
    <sheet name="Variables" sheetId="9" r:id="rId20"/>
    <sheet name="Admins" sheetId="3" r:id="rId21"/>
    <sheet name="Admin_log" sheetId="38" r:id="rId22"/>
    <sheet name="requisition_plot_table" sheetId="2274" r:id="rId23"/>
    <sheet name="Stockup_plot_table" sheetId="2275" r:id="rId24"/>
    <sheet name="center_req" sheetId="2276" r:id="rId25"/>
  </sheets>
  <functionGroups builtInGroupCount="19"/>
  <definedNames>
    <definedName name="_xlnm._FilterDatabase" localSheetId="1" hidden="1">Alert!$A$1:$J$16</definedName>
    <definedName name="_xlnm._FilterDatabase" localSheetId="8" hidden="1">Center_requisition!$A$1:$R$17</definedName>
    <definedName name="_xlnm._FilterDatabase" localSheetId="0" hidden="1">Database!$A$1:$K$18</definedName>
    <definedName name="_xlnm._FilterDatabase" localSheetId="16" hidden="1">Order_status!$A$1:$G$12</definedName>
    <definedName name="_xlnm._FilterDatabase" localSheetId="12" hidden="1">Pending_cost!$A$1:$K$10</definedName>
    <definedName name="_xlnm._FilterDatabase" localSheetId="7" hidden="1">Requisition_log!$A$1:$Q$25</definedName>
    <definedName name="_xlnm._FilterDatabase" localSheetId="3" hidden="1">Stockup_log!$A$1:$Q$26</definedName>
    <definedName name="_xlnm.Criteria" localSheetId="1">Alert!$N$1:$O$2</definedName>
    <definedName name="_xlnm.Criteria" localSheetId="24">center_req!$H$1:$I$2</definedName>
    <definedName name="_xlnm.Criteria" localSheetId="8">Center_requisition!$T$1:$U$2</definedName>
    <definedName name="_xlnm.Criteria" localSheetId="12">Pending_cost!$P$1:$P$2</definedName>
    <definedName name="_xlnm.Criteria" localSheetId="7">Requisition_log!$T$1:$U$2</definedName>
    <definedName name="_xlnm.Criteria" localSheetId="9">Requisition_logi!$T$1:$U$2</definedName>
    <definedName name="_xlnm.Criteria" localSheetId="4">Stockup_logi!$T$1:$U$2</definedName>
    <definedName name="_xlnm.Extract" localSheetId="1">Alert!$A$13:$J$13</definedName>
    <definedName name="_xlnm.Extract" localSheetId="24">center_req!$A$1:$E$1</definedName>
    <definedName name="_xlnm.Extract" localSheetId="8">Center_requisition!$A$1:$Q$1</definedName>
    <definedName name="_xlnm.Extract" localSheetId="18">Filter_ground!$A$1:$P$1</definedName>
    <definedName name="_xlnm.Extract" localSheetId="12">Pending_cost!$A$1:$J$1</definedName>
    <definedName name="_xlnm.Extract" localSheetId="7">Requisition_log!$S$9:$V$9</definedName>
    <definedName name="_xlnm.Extract" localSheetId="9">Requisition_logi!$A$1:$Q$1</definedName>
    <definedName name="_xlnm.Extract" localSheetId="2">Show_alert!$A$1:$J$1</definedName>
    <definedName name="_xlnm.Extract" localSheetId="17">Show_OrderSatus!$A$1:$F$1</definedName>
    <definedName name="_xlnm.Extract" localSheetId="4">Stockup_logi!$A$1:$Q$1</definedName>
    <definedName name="monthSlicerCache">#N/A</definedName>
    <definedName name="req_monthSlicerCache">#N/A</definedName>
    <definedName name="req_yearSlicerCache">#N/A</definedName>
    <definedName name="yearSlicerCache">#N/A</definedName>
  </definedNames>
  <calcPr calcId="181029"/>
  <pivotCaches>
    <pivotCache cacheId="29" r:id="rId26"/>
    <pivotCache cacheId="33" r:id="rId27"/>
  </pivotCaches>
  <extLst>
    <ext xmlns:x14="http://schemas.microsoft.com/office/spreadsheetml/2009/9/main" uri="{BBE1A952-AA13-448e-AADC-164F8A28A991}">
      <x14:slicerCaches>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3" i="10" l="1"/>
  <c r="Q4" i="10"/>
  <c r="Q5" i="10"/>
  <c r="Q6" i="10"/>
  <c r="Q7" i="10"/>
  <c r="Q8" i="10"/>
  <c r="Q9" i="10"/>
  <c r="Q10" i="10"/>
  <c r="Q11" i="10"/>
  <c r="Q12" i="10"/>
  <c r="Q13" i="10"/>
  <c r="Q14" i="10"/>
  <c r="Q15" i="10"/>
  <c r="Q16" i="10"/>
  <c r="Q17" i="10"/>
  <c r="Q18" i="10"/>
  <c r="Q19" i="10"/>
  <c r="Q20" i="10"/>
  <c r="Q21" i="10"/>
  <c r="Q22" i="10"/>
  <c r="Q23" i="10"/>
  <c r="Q24" i="10"/>
  <c r="Q25" i="10"/>
  <c r="Q26" i="10"/>
  <c r="Q2" i="10"/>
  <c r="Q3" i="123"/>
  <c r="Q4" i="123"/>
  <c r="Q5" i="123"/>
  <c r="Q6" i="123"/>
  <c r="Q7" i="123"/>
  <c r="Q8" i="123"/>
  <c r="Q9" i="123"/>
  <c r="Q10" i="123"/>
  <c r="Q11" i="123"/>
  <c r="Q12" i="123"/>
  <c r="Q13" i="123"/>
  <c r="Q14" i="123"/>
  <c r="Q15" i="123"/>
  <c r="Q16" i="123"/>
  <c r="Q17" i="123"/>
  <c r="Q18" i="123"/>
  <c r="Q19" i="123"/>
  <c r="Q20" i="123"/>
  <c r="Q21" i="123"/>
  <c r="Q22" i="123"/>
  <c r="Q23" i="123"/>
  <c r="Q24" i="123"/>
  <c r="Q25" i="123"/>
  <c r="Q26" i="123"/>
  <c r="Q2" i="123"/>
  <c r="Q3" i="132"/>
  <c r="Q4" i="132"/>
  <c r="Q5" i="132"/>
  <c r="Q6" i="132"/>
  <c r="Q7" i="132"/>
  <c r="Q8" i="132"/>
  <c r="Q9" i="132"/>
  <c r="Q10" i="132"/>
  <c r="Q11" i="132"/>
  <c r="Q12" i="132"/>
  <c r="Q13" i="132"/>
  <c r="Q14" i="132"/>
  <c r="Q15" i="132"/>
  <c r="Q16" i="132"/>
  <c r="Q17" i="132"/>
  <c r="Q18" i="132"/>
  <c r="Q19" i="132"/>
  <c r="Q20" i="132"/>
  <c r="Q21" i="132"/>
  <c r="Q22" i="132"/>
  <c r="Q23" i="132"/>
  <c r="Q24" i="132"/>
  <c r="Q25" i="132"/>
  <c r="Q2" i="132"/>
  <c r="Q3" i="12"/>
  <c r="Q4" i="12"/>
  <c r="Q5" i="12"/>
  <c r="Q6" i="12"/>
  <c r="Q7" i="12"/>
  <c r="Q8" i="12"/>
  <c r="Q9" i="12"/>
  <c r="Q10" i="12"/>
  <c r="Q11" i="12"/>
  <c r="Q12" i="12"/>
  <c r="Q13" i="12"/>
  <c r="Q14" i="12"/>
  <c r="Q15" i="12"/>
  <c r="Q16" i="12"/>
  <c r="Q17" i="12"/>
  <c r="Q18" i="12"/>
  <c r="Q19" i="12"/>
  <c r="Q20" i="12"/>
  <c r="Q21" i="12"/>
  <c r="Q22" i="12"/>
  <c r="Q23" i="12"/>
  <c r="Q24" i="12"/>
  <c r="Q25" i="12"/>
  <c r="Q2" i="12"/>
  <c r="Q3" i="1"/>
  <c r="Q4" i="1"/>
  <c r="Q5" i="1"/>
  <c r="Q6" i="1"/>
  <c r="Q7" i="1"/>
  <c r="Q8" i="1"/>
  <c r="Q9" i="1"/>
  <c r="Q10" i="1"/>
  <c r="Q11" i="1"/>
  <c r="Q12" i="1"/>
  <c r="Q13" i="1"/>
  <c r="Q14" i="1"/>
  <c r="Q15" i="1"/>
  <c r="Q16" i="1"/>
  <c r="Q17" i="1"/>
  <c r="Q18" i="1"/>
  <c r="Q2" i="1"/>
  <c r="B25" i="20"/>
  <c r="B24" i="20"/>
  <c r="B23" i="20"/>
  <c r="B22" i="20"/>
  <c r="B21" i="20"/>
  <c r="B20" i="20"/>
  <c r="B19" i="20"/>
  <c r="B18" i="20"/>
  <c r="B17" i="20"/>
  <c r="B16" i="20"/>
  <c r="B15" i="20"/>
  <c r="B14" i="20"/>
  <c r="B13" i="20"/>
  <c r="B12" i="20"/>
  <c r="B11" i="20"/>
  <c r="B10" i="20"/>
  <c r="B9" i="20"/>
  <c r="B8" i="20"/>
  <c r="B7" i="20"/>
  <c r="B6" i="20"/>
  <c r="B5" i="20"/>
  <c r="B4" i="20"/>
  <c r="B3" i="20"/>
  <c r="B2" i="20"/>
  <c r="L2" i="8"/>
  <c r="L3" i="8"/>
  <c r="L4" i="8"/>
  <c r="L5" i="8"/>
  <c r="L6" i="8"/>
  <c r="L7" i="8"/>
  <c r="L8" i="8"/>
  <c r="L9" i="8"/>
  <c r="L10" i="8"/>
  <c r="L11" i="8"/>
  <c r="L12" i="8"/>
  <c r="P5" i="39"/>
  <c r="I6" i="8"/>
  <c r="I5" i="8"/>
</calcChain>
</file>

<file path=xl/sharedStrings.xml><?xml version="1.0" encoding="utf-8"?>
<sst xmlns="http://schemas.openxmlformats.org/spreadsheetml/2006/main" count="2033" uniqueCount="311">
  <si>
    <t>SERIAL_NO</t>
  </si>
  <si>
    <t>PATHOLOGY</t>
  </si>
  <si>
    <t>CHEMISTRY</t>
  </si>
  <si>
    <t>PT1</t>
  </si>
  <si>
    <t>USERNAME</t>
  </si>
  <si>
    <t>PASSWORD</t>
  </si>
  <si>
    <t>Aduewa</t>
  </si>
  <si>
    <t>QUANTITY</t>
  </si>
  <si>
    <t>PT2</t>
  </si>
  <si>
    <t>ENTRY DATE</t>
  </si>
  <si>
    <t>BATCH ID</t>
  </si>
  <si>
    <t>SUPPLIER'S NAME</t>
  </si>
  <si>
    <t>INVENTORY ID</t>
  </si>
  <si>
    <t>ITEM NAME</t>
  </si>
  <si>
    <t>LOT NO</t>
  </si>
  <si>
    <t>EXPIRY DATE</t>
  </si>
  <si>
    <t>UNIT COST</t>
  </si>
  <si>
    <t>PON</t>
  </si>
  <si>
    <t>GRN</t>
  </si>
  <si>
    <t>DEPARTMENT</t>
  </si>
  <si>
    <t>DOMAIN</t>
  </si>
  <si>
    <t>Pathology</t>
  </si>
  <si>
    <t>Chemistry</t>
  </si>
  <si>
    <t>LOGIN DATE</t>
  </si>
  <si>
    <t>ALBUMIN</t>
  </si>
  <si>
    <t>A</t>
  </si>
  <si>
    <t>S/N</t>
  </si>
  <si>
    <t>RE-ORDER LEVEL</t>
  </si>
  <si>
    <t>PRODUCT CATEGORY</t>
  </si>
  <si>
    <t>B</t>
  </si>
  <si>
    <t>C</t>
  </si>
  <si>
    <t>Cardiology</t>
  </si>
  <si>
    <t>Radiology</t>
  </si>
  <si>
    <t>x-ray</t>
  </si>
  <si>
    <t>Ultrasound</t>
  </si>
  <si>
    <t>Serology</t>
  </si>
  <si>
    <t>Haematology</t>
  </si>
  <si>
    <t>Microbiology</t>
  </si>
  <si>
    <t>Molecular</t>
  </si>
  <si>
    <t>Genral &amp; Sundry</t>
  </si>
  <si>
    <t>Other</t>
  </si>
  <si>
    <t>TRIGLYCERIDE</t>
  </si>
  <si>
    <t>UNIT OF MEASUREMENT</t>
  </si>
  <si>
    <t>PACKS</t>
  </si>
  <si>
    <t>PT3</t>
  </si>
  <si>
    <t>PROTEIN</t>
  </si>
  <si>
    <t>U/L</t>
  </si>
  <si>
    <t>UNIT OF MEASURE</t>
  </si>
  <si>
    <t>IKJ1000000000</t>
  </si>
  <si>
    <t>IKJ1000000001</t>
  </si>
  <si>
    <t>AML_IKEJA</t>
  </si>
  <si>
    <t>AML_VICTORIAL ISLAND</t>
  </si>
  <si>
    <t>AML_IGANDO</t>
  </si>
  <si>
    <t>AML_ABUAD</t>
  </si>
  <si>
    <t>AML_PORTHARCOURT</t>
  </si>
  <si>
    <t>IKJ1000000002</t>
  </si>
  <si>
    <t>IKJ1000000003</t>
  </si>
  <si>
    <t>BIORAD</t>
  </si>
  <si>
    <t>IKJ1000000004</t>
  </si>
  <si>
    <t>IKJ1000000005</t>
  </si>
  <si>
    <t>DIVISION</t>
  </si>
  <si>
    <t>ISSUER'S NAME</t>
  </si>
  <si>
    <t>RECIVER'S NAME</t>
  </si>
  <si>
    <t>LIS NUMBER</t>
  </si>
  <si>
    <t>CENTER</t>
  </si>
  <si>
    <t>COMMENT</t>
  </si>
  <si>
    <t>Supplier</t>
  </si>
  <si>
    <t>Product</t>
  </si>
  <si>
    <t>Lot No</t>
  </si>
  <si>
    <t>Qty</t>
  </si>
  <si>
    <t>Unit</t>
  </si>
  <si>
    <t>Exp date</t>
  </si>
  <si>
    <t>Req date</t>
  </si>
  <si>
    <t>cyril</t>
  </si>
  <si>
    <t>sola</t>
  </si>
  <si>
    <t>DAYS LEFT</t>
  </si>
  <si>
    <t>Mindray</t>
  </si>
  <si>
    <t>AmD</t>
  </si>
  <si>
    <t>567876</t>
  </si>
  <si>
    <t>hytr5</t>
  </si>
  <si>
    <t>dff</t>
  </si>
  <si>
    <t>r54ew3</t>
  </si>
  <si>
    <t>60987696</t>
  </si>
  <si>
    <t>Erba AMD</t>
  </si>
  <si>
    <t>34567843er</t>
  </si>
  <si>
    <t>rtyui56</t>
  </si>
  <si>
    <t>mhyt654</t>
  </si>
  <si>
    <t>IKJ</t>
  </si>
  <si>
    <t>eeeeeeeeeeeeee</t>
  </si>
  <si>
    <t>6666666666666</t>
  </si>
  <si>
    <t>tttttttttt</t>
  </si>
  <si>
    <t>rrrrrrrrrr</t>
  </si>
  <si>
    <t>dddddddddddddd</t>
  </si>
  <si>
    <t>gftettte</t>
  </si>
  <si>
    <t>hyetwtw</t>
  </si>
  <si>
    <t>ffffff</t>
  </si>
  <si>
    <t>5666</t>
  </si>
  <si>
    <t>tyui8</t>
  </si>
  <si>
    <t>ty7665</t>
  </si>
  <si>
    <t>dddddddddd</t>
  </si>
  <si>
    <t>gggg</t>
  </si>
  <si>
    <t>as45678</t>
  </si>
  <si>
    <t>dfrre</t>
  </si>
  <si>
    <t>5467t65</t>
  </si>
  <si>
    <t>Batch ID</t>
  </si>
  <si>
    <t>amd</t>
  </si>
  <si>
    <t>54678967</t>
  </si>
  <si>
    <t>tyui876</t>
  </si>
  <si>
    <t>ggggggggg</t>
  </si>
  <si>
    <t>rrrrrrrrrrrrrr</t>
  </si>
  <si>
    <t>fret554</t>
  </si>
  <si>
    <t>dfrety55</t>
  </si>
  <si>
    <t>fffffffrt</t>
  </si>
  <si>
    <t>ght654</t>
  </si>
  <si>
    <t>IKJ1000000006</t>
  </si>
  <si>
    <t>Biorad</t>
  </si>
  <si>
    <t>4532178b</t>
  </si>
  <si>
    <t>675432</t>
  </si>
  <si>
    <t>tre54345</t>
  </si>
  <si>
    <t>IKJ1000000007</t>
  </si>
  <si>
    <t>Colorado</t>
  </si>
  <si>
    <t>345678ra</t>
  </si>
  <si>
    <t>fr4567yt</t>
  </si>
  <si>
    <t>frtyu675</t>
  </si>
  <si>
    <t>Date</t>
  </si>
  <si>
    <t>IKJ1000000008</t>
  </si>
  <si>
    <t>Sudabelt</t>
  </si>
  <si>
    <t>4356789</t>
  </si>
  <si>
    <t>789675</t>
  </si>
  <si>
    <t>234565443</t>
  </si>
  <si>
    <t>Ambode</t>
  </si>
  <si>
    <t>TOTAL QTY</t>
  </si>
  <si>
    <t>ORDER STATUS</t>
  </si>
  <si>
    <t>Above level</t>
  </si>
  <si>
    <t>Reorder</t>
  </si>
  <si>
    <t>PT4</t>
  </si>
  <si>
    <t>SPECULUM</t>
  </si>
  <si>
    <t>ECG</t>
  </si>
  <si>
    <t>Pieces</t>
  </si>
  <si>
    <t>SN</t>
  </si>
  <si>
    <t>UNIT</t>
  </si>
  <si>
    <t>CATEGORY</t>
  </si>
  <si>
    <t>Stockout:Reorder</t>
  </si>
  <si>
    <t>PT5</t>
  </si>
  <si>
    <t>AIR FRESHNER</t>
  </si>
  <si>
    <t>General and Sundray</t>
  </si>
  <si>
    <t>General</t>
  </si>
  <si>
    <t>Requisition log</t>
  </si>
  <si>
    <t>Stockup log</t>
  </si>
  <si>
    <t>Stock reminant</t>
  </si>
  <si>
    <t>&lt;=30</t>
  </si>
  <si>
    <t>&lt;=3-Nov-2022</t>
  </si>
  <si>
    <t>&gt;=5-Oct-2022</t>
  </si>
  <si>
    <t>IKJ1000000009</t>
  </si>
  <si>
    <t>Adenkunle</t>
  </si>
  <si>
    <t>Sola</t>
  </si>
  <si>
    <t>lis00008</t>
  </si>
  <si>
    <t>COST</t>
  </si>
  <si>
    <t>PT6</t>
  </si>
  <si>
    <t>Ultrasound gel</t>
  </si>
  <si>
    <t>PACK</t>
  </si>
  <si>
    <t>IKJ1000000010</t>
  </si>
  <si>
    <t>AMD Lagos</t>
  </si>
  <si>
    <t>1024lki</t>
  </si>
  <si>
    <t>fty6re4</t>
  </si>
  <si>
    <t>45897kj</t>
  </si>
  <si>
    <t>IKJ1000000011</t>
  </si>
  <si>
    <t>Moning Light</t>
  </si>
  <si>
    <t>253654NC</t>
  </si>
  <si>
    <t>Logati</t>
  </si>
  <si>
    <t>Dispatch Samuel</t>
  </si>
  <si>
    <t>56478yt</t>
  </si>
  <si>
    <t>I no give shi shi again</t>
  </si>
  <si>
    <t>TIME IN</t>
  </si>
  <si>
    <t>TIME OUT</t>
  </si>
  <si>
    <t>DATE</t>
  </si>
  <si>
    <t>Current Admin:</t>
  </si>
  <si>
    <t>Cleaners</t>
  </si>
  <si>
    <t>Chidinma</t>
  </si>
  <si>
    <t>yuiuerww</t>
  </si>
  <si>
    <t>obono mo ti pari</t>
  </si>
  <si>
    <t>Monthly requisition</t>
  </si>
  <si>
    <t>Dispatch Okanle</t>
  </si>
  <si>
    <t>56789yt</t>
  </si>
  <si>
    <t>CY</t>
  </si>
  <si>
    <t>Ambali Ekiti</t>
  </si>
  <si>
    <t>23456y7</t>
  </si>
  <si>
    <t>TOTAL ASSET</t>
  </si>
  <si>
    <t>=</t>
  </si>
  <si>
    <t>PT7</t>
  </si>
  <si>
    <t>Disposable Gown</t>
  </si>
  <si>
    <t>PIECES</t>
  </si>
  <si>
    <t>IKJ1000000012</t>
  </si>
  <si>
    <t>Grand Market Square</t>
  </si>
  <si>
    <t>25487985BN</t>
  </si>
  <si>
    <t>6753442</t>
  </si>
  <si>
    <t>yuioytre</t>
  </si>
  <si>
    <t>Noble</t>
  </si>
  <si>
    <t>456y768</t>
  </si>
  <si>
    <t>PT8</t>
  </si>
  <si>
    <t>Letterhead envelope</t>
  </si>
  <si>
    <t>PT9</t>
  </si>
  <si>
    <t>Insecticide</t>
  </si>
  <si>
    <t>IKJ1000000013</t>
  </si>
  <si>
    <t>Konga vs Jumia</t>
  </si>
  <si>
    <t>125478</t>
  </si>
  <si>
    <t>76ty346</t>
  </si>
  <si>
    <t>T34769</t>
  </si>
  <si>
    <t>gfhtyer</t>
  </si>
  <si>
    <t>yuioyter</t>
  </si>
  <si>
    <t>567896534gh</t>
  </si>
  <si>
    <t>tyuoun565</t>
  </si>
  <si>
    <t>5678964534g</t>
  </si>
  <si>
    <t>wertee</t>
  </si>
  <si>
    <t>4hy6789</t>
  </si>
  <si>
    <t>ertyuhyt45</t>
  </si>
  <si>
    <t>GHER</t>
  </si>
  <si>
    <t>gf4532</t>
  </si>
  <si>
    <t>fghytrewa</t>
  </si>
  <si>
    <t>yyyyytt</t>
  </si>
  <si>
    <t>444444</t>
  </si>
  <si>
    <t>45533</t>
  </si>
  <si>
    <t>4re3w213</t>
  </si>
  <si>
    <t>Row Labels</t>
  </si>
  <si>
    <t>Grand Total</t>
  </si>
  <si>
    <t>Sum of COST</t>
  </si>
  <si>
    <t>Oct</t>
  </si>
  <si>
    <t>Nov</t>
  </si>
  <si>
    <t>Jan</t>
  </si>
  <si>
    <t>Feb</t>
  </si>
  <si>
    <t>Mar</t>
  </si>
  <si>
    <t>Apr</t>
  </si>
  <si>
    <t>May</t>
  </si>
  <si>
    <t>Jun</t>
  </si>
  <si>
    <t>Jul</t>
  </si>
  <si>
    <t>Aug</t>
  </si>
  <si>
    <t>Sep</t>
  </si>
  <si>
    <t>Dec</t>
  </si>
  <si>
    <t>04-Nov</t>
  </si>
  <si>
    <t>14-Nov</t>
  </si>
  <si>
    <t>28-Oct</t>
  </si>
  <si>
    <t>29-Oct</t>
  </si>
  <si>
    <t>16-Nov</t>
  </si>
  <si>
    <t>18-Nov</t>
  </si>
  <si>
    <t>&gt;=1-Jan-2022</t>
  </si>
  <si>
    <t>pathology</t>
  </si>
  <si>
    <t>general and sundray</t>
  </si>
  <si>
    <t>molecular</t>
  </si>
  <si>
    <t>PT15</t>
  </si>
  <si>
    <t>Beta HCG</t>
  </si>
  <si>
    <t>IKJ1000000014</t>
  </si>
  <si>
    <t>ISN Medicals</t>
  </si>
  <si>
    <t>21025412</t>
  </si>
  <si>
    <t>gdgdggdg</t>
  </si>
  <si>
    <t>GHTyw6</t>
  </si>
  <si>
    <t>tyuio98</t>
  </si>
  <si>
    <t>03-Dec</t>
  </si>
  <si>
    <t>PT12</t>
  </si>
  <si>
    <t>Tissue paper</t>
  </si>
  <si>
    <t>IKJ1000000015</t>
  </si>
  <si>
    <t>Bala NG</t>
  </si>
  <si>
    <t>gtr5er</t>
  </si>
  <si>
    <t>897678hy</t>
  </si>
  <si>
    <t>ty6u77yt</t>
  </si>
  <si>
    <t>genral &amp; sundry</t>
  </si>
  <si>
    <t>IKJ1000000016</t>
  </si>
  <si>
    <t>Ambalowo Ng</t>
  </si>
  <si>
    <t>rereref4</t>
  </si>
  <si>
    <t>truy746</t>
  </si>
  <si>
    <t>IKJ1000000017</t>
  </si>
  <si>
    <t>JIUYl NG</t>
  </si>
  <si>
    <t>fdggdggd</t>
  </si>
  <si>
    <t>gdhdgd</t>
  </si>
  <si>
    <t>IKJ1000000018</t>
  </si>
  <si>
    <t>dfffdrte</t>
  </si>
  <si>
    <t>vhytd</t>
  </si>
  <si>
    <t>rdfrhgtr56</t>
  </si>
  <si>
    <t>IKJ1000000019</t>
  </si>
  <si>
    <t>dfreswe</t>
  </si>
  <si>
    <t>kjiuhygtf</t>
  </si>
  <si>
    <t>gtyr5ew</t>
  </si>
  <si>
    <t>rtyuie</t>
  </si>
  <si>
    <t>cardiology</t>
  </si>
  <si>
    <t>Lucky dispatch</t>
  </si>
  <si>
    <t>fromdre</t>
  </si>
  <si>
    <t>Israel</t>
  </si>
  <si>
    <t>Gfshiom</t>
  </si>
  <si>
    <t>from d bottom of my heart</t>
  </si>
  <si>
    <t>27-Nov</t>
  </si>
  <si>
    <t>04-Dec</t>
  </si>
  <si>
    <t>65tr543323</t>
  </si>
  <si>
    <t>PT17</t>
  </si>
  <si>
    <t>Barcode Paper</t>
  </si>
  <si>
    <t>IKJ1000000020</t>
  </si>
  <si>
    <t>freds</t>
  </si>
  <si>
    <t>ooiu</t>
  </si>
  <si>
    <t>21nb</t>
  </si>
  <si>
    <t>06-Dec</t>
  </si>
  <si>
    <t>IKJ1000000021</t>
  </si>
  <si>
    <t>IKEJA STORE</t>
  </si>
  <si>
    <t>67890OPI8UYT</t>
  </si>
  <si>
    <t>DFFDD</t>
  </si>
  <si>
    <t>09-Dec</t>
  </si>
  <si>
    <t>IKJ1000000022</t>
  </si>
  <si>
    <t>kkahhs</t>
  </si>
  <si>
    <t>reteeds</t>
  </si>
  <si>
    <t>jkiuytf</t>
  </si>
  <si>
    <t>EEEE</t>
  </si>
  <si>
    <t>Admin</t>
  </si>
  <si>
    <t>&lt;=13-Dec-2022</t>
  </si>
  <si>
    <t>&gt;=13-Nov-2022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</si>
</sst>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6A]#,##0.00"/>
    <numFmt numFmtId="165" formatCode="#,##0.00\ [$₦-467]"/>
    <numFmt numFmtId="166" formatCode="[$₦-469]\ #,##0"/>
    <numFmt numFmtId="167" formatCode="[$₦-470]#,##0"/>
    <numFmt numFmtId="168" formatCode="[$₦-469]\ #,##0.00"/>
    <numFmt numFmtId="169" formatCode="[$₦-46A]#,##0.00,,&quot;M&quot;"/>
  </numFmts>
  <fonts count="5" x14ac:knownFonts="1">
    <font>
      <sz val="11"/>
      <color theme="1"/>
      <name val="Calibri"/>
      <family val="2"/>
      <scheme val="minor"/>
    </font>
    <font>
      <b/>
      <sz val="11"/>
      <color theme="1"/>
      <name val="Calibri"/>
      <family val="2"/>
      <scheme val="minor"/>
    </font>
    <font>
      <b/>
      <sz val="11"/>
      <color theme="0"/>
      <name val="Calibri"/>
      <family val="2"/>
      <scheme val="minor"/>
    </font>
    <font>
      <sz val="8"/>
      <name val="Calibri"/>
      <family val="2"/>
      <scheme val="minor"/>
    </font>
    <font>
      <sz val="11"/>
      <color theme="0"/>
      <name val="Calibri"/>
      <family val="2"/>
      <scheme val="minor"/>
    </font>
  </fonts>
  <fills count="3">
    <fill>
      <patternFill patternType="none"/>
    </fill>
    <fill>
      <patternFill patternType="gray125"/>
    </fill>
    <fill>
      <patternFill patternType="solid">
        <fgColor theme="4" tint="-0.249977111117893"/>
        <bgColor indexed="64"/>
      </patternFill>
    </fill>
  </fills>
  <borders count="2">
    <border>
      <left/>
      <right/>
      <top/>
      <bottom/>
      <diagonal/>
    </border>
    <border>
      <left/>
      <right/>
      <top/>
      <bottom style="thin">
        <color indexed="64"/>
      </bottom>
      <diagonal/>
    </border>
  </borders>
  <cellStyleXfs count="1">
    <xf numFmtId="0" fontId="0" fillId="0" borderId="0"/>
  </cellStyleXfs>
  <cellXfs count="28">
    <xf numFmtId="0" fontId="0" fillId="0" borderId="0" xfId="0"/>
    <xf numFmtId="14" fontId="0" fillId="0" borderId="0" xfId="0" applyNumberFormat="1"/>
    <xf numFmtId="0" fontId="1" fillId="0" borderId="0" xfId="0" applyFont="1"/>
    <xf numFmtId="1" fontId="1" fillId="0" borderId="0" xfId="0" applyNumberFormat="1" applyFont="1"/>
    <xf numFmtId="1" fontId="0" fillId="0" borderId="0" xfId="0" applyNumberFormat="1"/>
    <xf numFmtId="49" fontId="1" fillId="0" borderId="0" xfId="0" applyNumberFormat="1" applyFont="1"/>
    <xf numFmtId="49" fontId="0" fillId="0" borderId="0" xfId="0" applyNumberFormat="1"/>
    <xf numFmtId="164" fontId="1" fillId="0" borderId="0" xfId="0" applyNumberFormat="1" applyFont="1"/>
    <xf numFmtId="164" fontId="0" fillId="0" borderId="0" xfId="0" applyNumberFormat="1"/>
    <xf numFmtId="14" fontId="1" fillId="0" borderId="0" xfId="0" applyNumberFormat="1" applyFont="1"/>
    <xf numFmtId="165" fontId="1" fillId="0" borderId="0" xfId="0" applyNumberFormat="1" applyFont="1"/>
    <xf numFmtId="165" fontId="0" fillId="0" borderId="0" xfId="0" applyNumberFormat="1"/>
    <xf numFmtId="0" fontId="1" fillId="0" borderId="1" xfId="0" applyFont="1" applyBorder="1"/>
    <xf numFmtId="49" fontId="1" fillId="0" borderId="1" xfId="0" applyNumberFormat="1" applyFont="1" applyBorder="1"/>
    <xf numFmtId="14" fontId="1" fillId="0" borderId="1" xfId="0" applyNumberFormat="1" applyFont="1" applyBorder="1"/>
    <xf numFmtId="2" fontId="0" fillId="0" borderId="0" xfId="0" applyNumberFormat="1"/>
    <xf numFmtId="49" fontId="2" fillId="2" borderId="1" xfId="0" applyNumberFormat="1" applyFont="1" applyFill="1" applyBorder="1"/>
    <xf numFmtId="14" fontId="2" fillId="2" borderId="1" xfId="0" applyNumberFormat="1" applyFont="1" applyFill="1" applyBorder="1"/>
    <xf numFmtId="166" fontId="1" fillId="0" borderId="0" xfId="0" applyNumberFormat="1" applyFont="1"/>
    <xf numFmtId="166" fontId="0" fillId="0" borderId="0" xfId="0" applyNumberFormat="1"/>
    <xf numFmtId="19" fontId="0" fillId="0" borderId="0" xfId="0" applyNumberFormat="1"/>
    <xf numFmtId="167" fontId="0" fillId="0" borderId="0" xfId="0" applyNumberFormat="1"/>
    <xf numFmtId="168" fontId="0" fillId="0" borderId="0" xfId="0" applyNumberFormat="1"/>
    <xf numFmtId="169" fontId="0" fillId="0" borderId="0" xfId="0" applyNumberFormat="1"/>
    <xf numFmtId="0" fontId="0" fillId="0" borderId="0" xfId="0" pivotButton="1"/>
    <xf numFmtId="14" fontId="0" fillId="0" borderId="0" xfId="0" applyNumberFormat="1" applyAlignment="1">
      <alignment horizontal="left"/>
    </xf>
    <xf numFmtId="0" fontId="4" fillId="2" borderId="0" xfId="0" applyFont="1" applyFill="1"/>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3.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95813271111181"/>
          <c:y val="0.15180305299260904"/>
          <c:w val="0.84504186728888819"/>
          <c:h val="0.77841831312496979"/>
        </c:manualLayout>
      </c:layout>
      <c:lineChart>
        <c:grouping val="standard"/>
        <c:varyColors val="0"/>
        <c:ser>
          <c:idx val="0"/>
          <c:order val="0"/>
          <c:tx>
            <c:v>Total</c:v>
          </c:tx>
          <c:spPr>
            <a:ln w="28575" cap="rnd">
              <a:solidFill>
                <a:schemeClr val="accent1"/>
              </a:solidFill>
              <a:round/>
            </a:ln>
            <a:effectLst/>
          </c:spPr>
          <c:marker>
            <c:symbol val="none"/>
          </c:marker>
          <c:cat>
            <c:strLit>
              <c:ptCount val="3"/>
              <c:pt idx="0">
                <c:v>28/10/2022</c:v>
              </c:pt>
              <c:pt idx="1">
                <c:v>29/10/2022</c:v>
              </c:pt>
              <c:pt idx="2">
                <c:v>04/11/2022</c:v>
              </c:pt>
            </c:strLit>
          </c:cat>
          <c:val>
            <c:numLit>
              <c:formatCode>General</c:formatCode>
              <c:ptCount val="3"/>
              <c:pt idx="0">
                <c:v>70000</c:v>
              </c:pt>
              <c:pt idx="1">
                <c:v>25500</c:v>
              </c:pt>
              <c:pt idx="2">
                <c:v>40602</c:v>
              </c:pt>
            </c:numLit>
          </c:val>
          <c:smooth val="0"/>
          <c:extLst>
            <c:ext xmlns:c16="http://schemas.microsoft.com/office/drawing/2014/chart" uri="{C3380CC4-5D6E-409C-BE32-E72D297353CC}">
              <c16:uniqueId val="{00000000-D5A2-4447-A7B6-B3F214D9F18E}"/>
            </c:ext>
          </c:extLst>
        </c:ser>
        <c:dLbls>
          <c:showLegendKey val="0"/>
          <c:showVal val="0"/>
          <c:showCatName val="0"/>
          <c:showSerName val="0"/>
          <c:showPercent val="0"/>
          <c:showBubbleSize val="0"/>
        </c:dLbls>
        <c:smooth val="0"/>
        <c:axId val="630160264"/>
        <c:axId val="630159936"/>
      </c:lineChart>
      <c:catAx>
        <c:axId val="63016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159936"/>
        <c:crosses val="autoZero"/>
        <c:auto val="1"/>
        <c:lblAlgn val="ctr"/>
        <c:lblOffset val="100"/>
        <c:noMultiLvlLbl val="0"/>
      </c:catAx>
      <c:valAx>
        <c:axId val="630159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16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421924320"/>
        <c:axId val="592053688"/>
      </c:lineChart>
      <c:catAx>
        <c:axId val="421924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53688"/>
        <c:crosses val="autoZero"/>
        <c:auto val="1"/>
        <c:lblAlgn val="ctr"/>
        <c:lblOffset val="100"/>
        <c:noMultiLvlLbl val="0"/>
      </c:catAx>
      <c:valAx>
        <c:axId val="592053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24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[ims_Application.xlsm]requisition_plot_table!requisitionPivotTable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Consumption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2A7184"/>
            </a:solidFill>
            <a:round/>
          </a:ln>
          <a:effectLst/>
        </c:spPr>
        <c:marker>
          <c:symbol val="circle"/>
          <c:size val="6"/>
          <c:spPr>
            <a:solidFill>
              <a:srgbClr val="2A7184"/>
            </a:solidFill>
            <a:ln w="9525">
              <a:solidFill>
                <a:srgbClr val="2A718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requisition_plot_table!$B$3</c:f>
              <c:strCache>
                <c:ptCount val="1"/>
                <c:pt idx="0">
                  <c:v>Total</c:v>
                </c:pt>
              </c:strCache>
            </c:strRef>
          </c:tx>
          <c:spPr>
            <a:ln w="28575" cap="rnd">
              <a:solidFill>
                <a:srgbClr val="2A7184"/>
              </a:solidFill>
              <a:round/>
            </a:ln>
            <a:effectLst/>
          </c:spPr>
          <c:marker>
            <c:symbol val="circle"/>
            <c:size val="6"/>
            <c:spPr>
              <a:solidFill>
                <a:srgbClr val="2A7184"/>
              </a:solidFill>
              <a:ln w="9525">
                <a:solidFill>
                  <a:srgbClr val="2A7184"/>
                </a:solidFill>
              </a:ln>
              <a:effectLst/>
            </c:spPr>
          </c:marker>
          <c:cat>
            <c:strRef>
              <c:f>requisition_plot_table!$A$4:$A$12</c:f>
              <c:strCache>
                <c:ptCount val="8"/>
                <c:pt idx="0">
                  <c:v>28-Oct</c:v>
                </c:pt>
                <c:pt idx="1">
                  <c:v>29-Oct</c:v>
                </c:pt>
                <c:pt idx="2">
                  <c:v>04-Nov</c:v>
                </c:pt>
                <c:pt idx="3">
                  <c:v>16-Nov</c:v>
                </c:pt>
                <c:pt idx="4">
                  <c:v>18-Nov</c:v>
                </c:pt>
                <c:pt idx="5">
                  <c:v>03-Dec</c:v>
                </c:pt>
                <c:pt idx="6">
                  <c:v>04-Dec</c:v>
                </c:pt>
                <c:pt idx="7">
                  <c:v>09-Dec</c:v>
                </c:pt>
              </c:strCache>
            </c:strRef>
          </c:cat>
          <c:val>
            <c:numRef>
              <c:f>requisition_plot_table!$B$4:$B$12</c:f>
              <c:numCache>
                <c:formatCode>General</c:formatCode>
                <c:ptCount val="8"/>
                <c:pt idx="0">
                  <c:v>70000</c:v>
                </c:pt>
                <c:pt idx="1">
                  <c:v>25500</c:v>
                </c:pt>
                <c:pt idx="2">
                  <c:v>40602</c:v>
                </c:pt>
                <c:pt idx="3">
                  <c:v>86857</c:v>
                </c:pt>
                <c:pt idx="4">
                  <c:v>0</c:v>
                </c:pt>
                <c:pt idx="5">
                  <c:v>79600</c:v>
                </c:pt>
                <c:pt idx="6">
                  <c:v>21200</c:v>
                </c:pt>
                <c:pt idx="7">
                  <c:v>33600</c:v>
                </c:pt>
              </c:numCache>
            </c:numRef>
          </c:val>
          <c:smooth val="0"/>
          <c:extLst>
            <c:ext xmlns:c16="http://schemas.microsoft.com/office/drawing/2014/chart" uri="{C3380CC4-5D6E-409C-BE32-E72D297353CC}">
              <c16:uniqueId val="{00000000-CD7D-409B-BBDB-83D18EF3DBD9}"/>
            </c:ext>
          </c:extLst>
        </c:ser>
        <c:dLbls>
          <c:showLegendKey val="0"/>
          <c:showVal val="0"/>
          <c:showCatName val="0"/>
          <c:showSerName val="0"/>
          <c:showPercent val="0"/>
          <c:showBubbleSize val="0"/>
        </c:dLbls>
        <c:marker val="1"/>
        <c:smooth val="0"/>
        <c:axId val="460076200"/>
        <c:axId val="460076528"/>
      </c:lineChart>
      <c:catAx>
        <c:axId val="460076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076528"/>
        <c:crosses val="autoZero"/>
        <c:auto val="1"/>
        <c:lblAlgn val="ctr"/>
        <c:lblOffset val="100"/>
        <c:noMultiLvlLbl val="0"/>
      </c:catAx>
      <c:valAx>
        <c:axId val="460076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07620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[ims_Application.xlsm]Stockup_plot_table!purchasesPivotTable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Purchases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2A7184"/>
            </a:solidFill>
            <a:round/>
          </a:ln>
          <a:effectLst/>
        </c:spPr>
        <c:marker>
          <c:symbol val="circle"/>
          <c:size val="6"/>
          <c:spPr>
            <a:solidFill>
              <a:srgbClr val="2A7184"/>
            </a:solidFill>
            <a:ln w="9525">
              <a:solidFill>
                <a:srgbClr val="2A718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Stockup_plot_table!$B$3</c:f>
              <c:strCache>
                <c:ptCount val="1"/>
                <c:pt idx="0">
                  <c:v>Total</c:v>
                </c:pt>
              </c:strCache>
            </c:strRef>
          </c:tx>
          <c:spPr>
            <a:ln w="28575" cap="rnd">
              <a:solidFill>
                <a:srgbClr val="2A7184"/>
              </a:solidFill>
              <a:round/>
            </a:ln>
            <a:effectLst/>
          </c:spPr>
          <c:marker>
            <c:symbol val="circle"/>
            <c:size val="6"/>
            <c:spPr>
              <a:solidFill>
                <a:srgbClr val="2A7184"/>
              </a:solidFill>
              <a:ln w="9525">
                <a:solidFill>
                  <a:srgbClr val="2A7184"/>
                </a:solidFill>
              </a:ln>
              <a:effectLst/>
            </c:spPr>
          </c:marker>
          <c:cat>
            <c:strRef>
              <c:f>Stockup_plot_table!$A$4:$A$13</c:f>
              <c:strCache>
                <c:ptCount val="9"/>
                <c:pt idx="0">
                  <c:v>28-Oct</c:v>
                </c:pt>
                <c:pt idx="1">
                  <c:v>29-Oct</c:v>
                </c:pt>
                <c:pt idx="2">
                  <c:v>04-Nov</c:v>
                </c:pt>
                <c:pt idx="3">
                  <c:v>14-Nov</c:v>
                </c:pt>
                <c:pt idx="4">
                  <c:v>27-Nov</c:v>
                </c:pt>
                <c:pt idx="5">
                  <c:v>03-Dec</c:v>
                </c:pt>
                <c:pt idx="6">
                  <c:v>04-Dec</c:v>
                </c:pt>
                <c:pt idx="7">
                  <c:v>06-Dec</c:v>
                </c:pt>
                <c:pt idx="8">
                  <c:v>09-Dec</c:v>
                </c:pt>
              </c:strCache>
            </c:strRef>
          </c:cat>
          <c:val>
            <c:numRef>
              <c:f>Stockup_plot_table!$B$4:$B$13</c:f>
              <c:numCache>
                <c:formatCode>General</c:formatCode>
                <c:ptCount val="9"/>
                <c:pt idx="0">
                  <c:v>154000</c:v>
                </c:pt>
                <c:pt idx="1">
                  <c:v>1058713</c:v>
                </c:pt>
                <c:pt idx="2">
                  <c:v>170367</c:v>
                </c:pt>
                <c:pt idx="3">
                  <c:v>0</c:v>
                </c:pt>
                <c:pt idx="4">
                  <c:v>30000</c:v>
                </c:pt>
                <c:pt idx="5">
                  <c:v>9600</c:v>
                </c:pt>
                <c:pt idx="6">
                  <c:v>51600</c:v>
                </c:pt>
                <c:pt idx="7">
                  <c:v>1500</c:v>
                </c:pt>
                <c:pt idx="8">
                  <c:v>600</c:v>
                </c:pt>
              </c:numCache>
            </c:numRef>
          </c:val>
          <c:smooth val="0"/>
          <c:extLst>
            <c:ext xmlns:c16="http://schemas.microsoft.com/office/drawing/2014/chart" uri="{C3380CC4-5D6E-409C-BE32-E72D297353CC}">
              <c16:uniqueId val="{00000000-BA57-409A-8C28-8BD9904904D5}"/>
            </c:ext>
          </c:extLst>
        </c:ser>
        <c:dLbls>
          <c:showLegendKey val="0"/>
          <c:showVal val="0"/>
          <c:showCatName val="0"/>
          <c:showSerName val="0"/>
          <c:showPercent val="0"/>
          <c:showBubbleSize val="0"/>
        </c:dLbls>
        <c:marker val="1"/>
        <c:smooth val="0"/>
        <c:axId val="455370680"/>
        <c:axId val="455371008"/>
      </c:lineChart>
      <c:catAx>
        <c:axId val="455370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71008"/>
        <c:crosses val="autoZero"/>
        <c:auto val="1"/>
        <c:lblAlgn val="ctr"/>
        <c:lblOffset val="100"/>
        <c:noMultiLvlLbl val="0"/>
      </c:catAx>
      <c:valAx>
        <c:axId val="455371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7068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162560</xdr:colOff>
      <xdr:row>0</xdr:row>
      <xdr:rowOff>0</xdr:rowOff>
    </xdr:from>
    <xdr:to>
      <xdr:col>9</xdr:col>
      <xdr:colOff>205740</xdr:colOff>
      <xdr:row>18</xdr:row>
      <xdr:rowOff>20320</xdr:rowOff>
    </xdr:to>
    <xdr:graphicFrame macro="">
      <xdr:nvGraphicFramePr>
        <xdr:cNvPr id="4" name="Chart 3">
          <a:extLst>
            <a:ext uri="{FF2B5EF4-FFF2-40B4-BE49-F238E27FC236}">
              <a16:creationId xmlns:a16="http://schemas.microsoft.com/office/drawing/2014/main" id="{69EEF76A-7543-3A9F-3F30-798B13BA88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71120</xdr:colOff>
      <xdr:row>2</xdr:row>
      <xdr:rowOff>154940</xdr:rowOff>
    </xdr:from>
    <xdr:to>
      <xdr:col>16</xdr:col>
      <xdr:colOff>375920</xdr:colOff>
      <xdr:row>23</xdr:row>
      <xdr:rowOff>124460</xdr:rowOff>
    </xdr:to>
    <xdr:graphicFrame macro="">
      <xdr:nvGraphicFramePr>
        <xdr:cNvPr id="2" name="Chart 1">
          <a:extLst>
            <a:ext uri="{FF2B5EF4-FFF2-40B4-BE49-F238E27FC236}">
              <a16:creationId xmlns:a16="http://schemas.microsoft.com/office/drawing/2014/main" id="{82882BB8-2C22-4C34-4380-EA8ED43AF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635000</xdr:colOff>
      <xdr:row>1</xdr:row>
      <xdr:rowOff>71120</xdr:rowOff>
    </xdr:from>
    <xdr:to>
      <xdr:col>8</xdr:col>
      <xdr:colOff>190500</xdr:colOff>
      <xdr:row>21</xdr:row>
      <xdr:rowOff>96520</xdr:rowOff>
    </xdr:to>
    <xdr:graphicFrame macro="">
      <xdr:nvGraphicFramePr>
        <xdr:cNvPr id="2" name="Chart 1">
          <a:extLst>
            <a:ext uri="{FF2B5EF4-FFF2-40B4-BE49-F238E27FC236}">
              <a16:creationId xmlns:a16="http://schemas.microsoft.com/office/drawing/2014/main" id="{32AED6AE-6C5E-2C44-4EF6-88F7B7E4C5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3" name="req_monthSlicer">
              <a:extLst>
                <a:ext uri="{FF2B5EF4-FFF2-40B4-BE49-F238E27FC236}">
                  <a16:creationId xmlns:a16="http://schemas.microsoft.com/office/drawing/2014/main" id="{65FB4D2C-40E1-8260-6BAA-323F2A45A144}"/>
                </a:ext>
              </a:extLst>
            </xdr:cNvPr>
            <xdr:cNvGraphicFramePr/>
          </xdr:nvGraphicFramePr>
          <xdr:xfrm>
            <a:off x="0" y="0"/>
            <a:ext cx="0" cy="0"/>
          </xdr:xfrm>
          <a:graphic>
            <a:graphicData uri="http://schemas.microsoft.com/office/drawing/2010/slicer">
              <sle:slicer xmlns:sle="http://schemas.microsoft.com/office/drawing/2010/slicer" name="req_month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4" name="req_yearSlicer">
              <a:extLst>
                <a:ext uri="{FF2B5EF4-FFF2-40B4-BE49-F238E27FC236}">
                  <a16:creationId xmlns:a16="http://schemas.microsoft.com/office/drawing/2014/main" id="{CFBF268F-87BF-AC40-7F91-132C50F396EF}"/>
                </a:ext>
              </a:extLst>
            </xdr:cNvPr>
            <xdr:cNvGraphicFramePr/>
          </xdr:nvGraphicFramePr>
          <xdr:xfrm>
            <a:off x="0" y="0"/>
            <a:ext cx="0" cy="0"/>
          </xdr:xfrm>
          <a:graphic>
            <a:graphicData uri="http://schemas.microsoft.com/office/drawing/2010/slicer">
              <sle:slicer xmlns:sle="http://schemas.microsoft.com/office/drawing/2010/slicer" name="req_year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508000</xdr:colOff>
      <xdr:row>0</xdr:row>
      <xdr:rowOff>127000</xdr:rowOff>
    </xdr:from>
    <xdr:to>
      <xdr:col>7</xdr:col>
      <xdr:colOff>355600</xdr:colOff>
      <xdr:row>13</xdr:row>
      <xdr:rowOff>99060</xdr:rowOff>
    </xdr:to>
    <xdr:graphicFrame macro="">
      <xdr:nvGraphicFramePr>
        <xdr:cNvPr id="2" name="Chart 1">
          <a:extLst>
            <a:ext uri="{FF2B5EF4-FFF2-40B4-BE49-F238E27FC236}">
              <a16:creationId xmlns:a16="http://schemas.microsoft.com/office/drawing/2014/main" id="{A7D63207-6B2C-1FD0-2296-564219E042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3" name="monthSlicer">
              <a:extLst>
                <a:ext uri="{FF2B5EF4-FFF2-40B4-BE49-F238E27FC236}">
                  <a16:creationId xmlns:a16="http://schemas.microsoft.com/office/drawing/2014/main" id="{6A9E8A9C-7FEB-94D9-9E7B-A680C8E5A122}"/>
                </a:ext>
              </a:extLst>
            </xdr:cNvPr>
            <xdr:cNvGraphicFramePr/>
          </xdr:nvGraphicFramePr>
          <xdr:xfrm>
            <a:off x="0" y="0"/>
            <a:ext cx="0" cy="0"/>
          </xdr:xfrm>
          <a:graphic>
            <a:graphicData uri="http://schemas.microsoft.com/office/drawing/2010/slicer">
              <sle:slicer xmlns:sle="http://schemas.microsoft.com/office/drawing/2010/slicer" name="month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4" name="yearSlicer">
              <a:extLst>
                <a:ext uri="{FF2B5EF4-FFF2-40B4-BE49-F238E27FC236}">
                  <a16:creationId xmlns:a16="http://schemas.microsoft.com/office/drawing/2014/main" id="{D37F9535-C170-288B-712A-9015CAA3B70E}"/>
                </a:ext>
              </a:extLst>
            </xdr:cNvPr>
            <xdr:cNvGraphicFramePr/>
          </xdr:nvGraphicFramePr>
          <xdr:xfrm>
            <a:off x="0" y="0"/>
            <a:ext cx="0" cy="0"/>
          </xdr:xfrm>
          <a:graphic>
            <a:graphicData uri="http://schemas.microsoft.com/office/drawing/2010/slicer">
              <sle:slicer xmlns:sle="http://schemas.microsoft.com/office/drawing/2010/slicer" name="year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uwasola" refreshedDate="44908.28316215278" createdVersion="3" refreshedVersion="8" minRefreshableVersion="3" recordCount="24" xr:uid="{8AE17535-91DB-4B17-A6DF-BED81DAC1409}">
  <cacheSource type="worksheet">
    <worksheetSource ref="A1:Q25" sheet="Requisition_logi"/>
  </cacheSource>
  <cacheFields count="19">
    <cacheField name="BATCH ID" numFmtId="0">
      <sharedItems/>
    </cacheField>
    <cacheField name="ENTRY DATE" numFmtId="14">
      <sharedItems containsSemiMixedTypes="0" containsNonDate="0" containsDate="1" containsString="0" minDate="2022-10-28T00:00:00" maxDate="2022-12-10T00:00:00" count="8">
        <d v="2022-10-28T00:00:00"/>
        <d v="2022-10-29T00:00:00"/>
        <d v="2022-11-04T00:00:00"/>
        <d v="2022-11-16T00:00:00"/>
        <d v="2022-11-18T00:00:00"/>
        <d v="2022-12-03T00:00:00"/>
        <d v="2022-12-04T00:00:00"/>
        <d v="2022-12-09T00:00:00"/>
      </sharedItems>
      <fieldGroup par="18" base="1">
        <rangePr groupBy="days" startDate="2022-10-28T00:00:00" endDate="2022-12-10T00:00:00"/>
        <groupItems count="368">
          <s v="&lt;28/10/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0/12/2022"/>
        </groupItems>
      </fieldGroup>
    </cacheField>
    <cacheField name="SUPPLIER'S NAME" numFmtId="49">
      <sharedItems/>
    </cacheField>
    <cacheField name="INVENTORY ID" numFmtId="49">
      <sharedItems/>
    </cacheField>
    <cacheField name="ITEM NAME" numFmtId="49">
      <sharedItems/>
    </cacheField>
    <cacheField name="LOT NO" numFmtId="49">
      <sharedItems containsBlank="1"/>
    </cacheField>
    <cacheField name="QUANTITY" numFmtId="1">
      <sharedItems containsSemiMixedTypes="0" containsString="0" containsNumber="1" containsInteger="1" minValue="1" maxValue="10"/>
    </cacheField>
    <cacheField name="UNIT OF MEASURE" numFmtId="49">
      <sharedItems/>
    </cacheField>
    <cacheField name="EXPIRY DATE" numFmtId="14">
      <sharedItems containsSemiMixedTypes="0" containsNonDate="0" containsDate="1" containsString="0" minDate="2022-12-14T00:00:00" maxDate="2029-11-19T00:00:00"/>
    </cacheField>
    <cacheField name="UNIT COST" numFmtId="164">
      <sharedItems containsString="0" containsBlank="1" containsNumber="1" containsInteger="1" minValue="200" maxValue="56789"/>
    </cacheField>
    <cacheField name="CENTER" numFmtId="0">
      <sharedItems/>
    </cacheField>
    <cacheField name="DIVISION" numFmtId="0">
      <sharedItems containsBlank="1" containsMixedTypes="1" containsNumber="1" containsInteger="1" minValue="0" maxValue="0"/>
    </cacheField>
    <cacheField name="RECIVER'S NAME" numFmtId="0">
      <sharedItems/>
    </cacheField>
    <cacheField name="ISSUER'S NAME" numFmtId="0">
      <sharedItems containsBlank="1"/>
    </cacheField>
    <cacheField name="LIS NUMBER" numFmtId="0">
      <sharedItems containsMixedTypes="1" containsNumber="1" containsInteger="1" minValue="7777778" maxValue="7777778"/>
    </cacheField>
    <cacheField name="COMMENT" numFmtId="0">
      <sharedItems containsBlank="1"/>
    </cacheField>
    <cacheField name="COST" numFmtId="166">
      <sharedItems containsSemiMixedTypes="0" containsString="0" containsNumber="1" containsInteger="1" minValue="0" maxValue="70000"/>
    </cacheField>
    <cacheField name="Months" numFmtId="0" databaseField="0">
      <fieldGroup base="1">
        <rangePr groupBy="months" startDate="2022-10-28T00:00:00" endDate="2022-12-10T00:00:00"/>
        <groupItems count="14">
          <s v="&lt;28/10/2022"/>
          <s v="Jan"/>
          <s v="Feb"/>
          <s v="Mar"/>
          <s v="Apr"/>
          <s v="May"/>
          <s v="Jun"/>
          <s v="Jul"/>
          <s v="Aug"/>
          <s v="Sep"/>
          <s v="Oct"/>
          <s v="Nov"/>
          <s v="Dec"/>
          <s v="&gt;10/12/2022"/>
        </groupItems>
      </fieldGroup>
    </cacheField>
    <cacheField name="Years" numFmtId="0" databaseField="0">
      <fieldGroup base="1">
        <rangePr groupBy="years" startDate="2022-10-28T00:00:00" endDate="2022-12-10T00:00:00"/>
        <groupItems count="3">
          <s v="&lt;28/10/2022"/>
          <s v="2022"/>
          <s v="&gt;10/12/2022"/>
        </groupItems>
      </fieldGroup>
    </cacheField>
  </cacheFields>
  <extLst>
    <ext xmlns:x14="http://schemas.microsoft.com/office/spreadsheetml/2009/9/main" uri="{725AE2AE-9491-48be-B2B4-4EB974FC3084}">
      <x14:pivotCacheDefinition pivotCacheId="59795611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uwasola" refreshedDate="44908.283163541666" createdVersion="3" refreshedVersion="8" minRefreshableVersion="3" recordCount="25" xr:uid="{F8E3823B-E7C5-4F62-98CA-CF4D9C01B743}">
  <cacheSource type="worksheet">
    <worksheetSource ref="A1:Q26" sheet="Stockup_logi"/>
  </cacheSource>
  <cacheFields count="19">
    <cacheField name="BATCH ID" numFmtId="0">
      <sharedItems/>
    </cacheField>
    <cacheField name="ENTRY DATE" numFmtId="14">
      <sharedItems containsSemiMixedTypes="0" containsNonDate="0" containsDate="1" containsString="0" minDate="2022-10-28T00:00:00" maxDate="2022-12-10T00:00:00" count="9">
        <d v="2022-10-28T00:00:00"/>
        <d v="2022-10-29T00:00:00"/>
        <d v="2022-11-04T00:00:00"/>
        <d v="2022-11-14T00:00:00"/>
        <d v="2022-11-27T00:00:00"/>
        <d v="2022-12-03T00:00:00"/>
        <d v="2022-12-04T00:00:00"/>
        <d v="2022-12-06T00:00:00"/>
        <d v="2022-12-09T00:00:00"/>
      </sharedItems>
      <fieldGroup par="18" base="1">
        <rangePr groupBy="days" startDate="2022-10-28T00:00:00" endDate="2022-12-10T00:00:00"/>
        <groupItems count="368">
          <s v="&lt;28/10/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0/12/2022"/>
        </groupItems>
      </fieldGroup>
    </cacheField>
    <cacheField name="SUPPLIER'S NAME" numFmtId="49">
      <sharedItems/>
    </cacheField>
    <cacheField name="INVENTORY ID" numFmtId="49">
      <sharedItems/>
    </cacheField>
    <cacheField name="ITEM NAME" numFmtId="49">
      <sharedItems/>
    </cacheField>
    <cacheField name="LOT NO" numFmtId="49">
      <sharedItems containsBlank="1"/>
    </cacheField>
    <cacheField name="QUANTITY" numFmtId="1">
      <sharedItems containsSemiMixedTypes="0" containsString="0" containsNumber="1" containsInteger="1" minValue="1" maxValue="54"/>
    </cacheField>
    <cacheField name="UNIT OF MEASURE" numFmtId="49">
      <sharedItems/>
    </cacheField>
    <cacheField name="EXPIRY DATE" numFmtId="14">
      <sharedItems containsSemiMixedTypes="0" containsNonDate="0" containsDate="1" containsString="0" minDate="2022-11-03T00:00:00" maxDate="2027-10-30T00:00:00"/>
    </cacheField>
    <cacheField name="UNIT COST" numFmtId="164">
      <sharedItems containsString="0" containsBlank="1" containsNumber="1" containsInteger="1" minValue="200" maxValue="56789"/>
    </cacheField>
    <cacheField name="PON" numFmtId="49">
      <sharedItems/>
    </cacheField>
    <cacheField name="GRN" numFmtId="49">
      <sharedItems/>
    </cacheField>
    <cacheField name="DEPARTMENT" numFmtId="49">
      <sharedItems/>
    </cacheField>
    <cacheField name="DOMAIN" numFmtId="49">
      <sharedItems/>
    </cacheField>
    <cacheField name="RE-ORDER LEVEL" numFmtId="1">
      <sharedItems containsSemiMixedTypes="0" containsString="0" containsNumber="1" containsInteger="1" minValue="1" maxValue="12"/>
    </cacheField>
    <cacheField name="PRODUCT CATEGORY" numFmtId="49">
      <sharedItems/>
    </cacheField>
    <cacheField name="COST" numFmtId="166">
      <sharedItems containsSemiMixedTypes="0" containsString="0" containsNumber="1" containsInteger="1" minValue="0" maxValue="306612"/>
    </cacheField>
    <cacheField name="Months" numFmtId="0" databaseField="0">
      <fieldGroup base="1">
        <rangePr groupBy="months" startDate="2022-10-28T00:00:00" endDate="2022-12-10T00:00:00"/>
        <groupItems count="14">
          <s v="&lt;28/10/2022"/>
          <s v="Jan"/>
          <s v="Feb"/>
          <s v="Mar"/>
          <s v="Apr"/>
          <s v="May"/>
          <s v="Jun"/>
          <s v="Jul"/>
          <s v="Aug"/>
          <s v="Sep"/>
          <s v="Oct"/>
          <s v="Nov"/>
          <s v="Dec"/>
          <s v="&gt;10/12/2022"/>
        </groupItems>
      </fieldGroup>
    </cacheField>
    <cacheField name="Years" numFmtId="0" databaseField="0">
      <fieldGroup base="1">
        <rangePr groupBy="years" startDate="2022-10-28T00:00:00" endDate="2022-12-10T00:00:00"/>
        <groupItems count="3">
          <s v="&lt;28/10/2022"/>
          <s v="2022"/>
          <s v="&gt;10/12/2022"/>
        </groupItems>
      </fieldGroup>
    </cacheField>
  </cacheFields>
  <extLst>
    <ext xmlns:x14="http://schemas.microsoft.com/office/spreadsheetml/2009/9/main" uri="{725AE2AE-9491-48be-B2B4-4EB974FC3084}">
      <x14:pivotCacheDefinition pivotCacheId="11008341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s v="IKJ1000000000"/>
    <x v="0"/>
    <s v="AmD"/>
    <s v="PT2"/>
    <s v="TRIGLYCERIDE"/>
    <s v="567876"/>
    <n v="10"/>
    <s v="PACKS"/>
    <d v="2023-10-28T00:00:00"/>
    <n v="7000"/>
    <s v="AML_IGANDO"/>
    <n v="0"/>
    <s v="hytr5"/>
    <s v="dff"/>
    <s v="r54ew3"/>
    <m/>
    <n v="70000"/>
  </r>
  <r>
    <s v="IKJ1000000002"/>
    <x v="1"/>
    <s v="Mindray"/>
    <s v="PT3"/>
    <s v="PROTEIN"/>
    <s v="60987696"/>
    <n v="1"/>
    <s v="U/L"/>
    <d v="2022-12-31T00:00:00"/>
    <n v="5000"/>
    <s v="AML_IGANDO"/>
    <m/>
    <s v="cyril"/>
    <s v="sola"/>
    <s v="mhyt654"/>
    <m/>
    <n v="5000"/>
  </r>
  <r>
    <s v="IKJ1000000003"/>
    <x v="1"/>
    <s v="Erba AMD"/>
    <s v="PT3"/>
    <s v="PROTEIN"/>
    <s v="34567843er"/>
    <n v="6"/>
    <s v="U/L"/>
    <d v="2023-10-29T00:00:00"/>
    <n v="500"/>
    <s v="AML_IGANDO"/>
    <m/>
    <s v="cyril"/>
    <s v="sola"/>
    <s v="mhyt654"/>
    <m/>
    <n v="3000"/>
  </r>
  <r>
    <s v="IKJ1000000004"/>
    <x v="1"/>
    <s v="BIORAD"/>
    <s v="PT3"/>
    <s v="PROTEIN"/>
    <s v="rtyui56"/>
    <n v="1"/>
    <s v="U/L"/>
    <d v="2024-10-29T00:00:00"/>
    <n v="3500"/>
    <s v="AML_IGANDO"/>
    <m/>
    <s v="cyril"/>
    <s v="sola"/>
    <s v="mhyt654"/>
    <m/>
    <n v="3500"/>
  </r>
  <r>
    <s v="IKJ1000000002"/>
    <x v="1"/>
    <s v="ffffff"/>
    <s v="PT1"/>
    <s v="ALBUMIN"/>
    <s v="5666"/>
    <n v="2"/>
    <s v="PACKS"/>
    <d v="2024-10-29T00:00:00"/>
    <m/>
    <s v="AML_IGANDO"/>
    <m/>
    <s v="tyui8"/>
    <s v="ty7665"/>
    <s v="dddddddddd"/>
    <m/>
    <n v="0"/>
  </r>
  <r>
    <s v="IKJ1000000002"/>
    <x v="1"/>
    <s v="ffffff"/>
    <s v="PT1"/>
    <s v="ALBUMIN"/>
    <s v="5666"/>
    <n v="4"/>
    <s v="PACKS"/>
    <d v="2024-10-29T00:00:00"/>
    <m/>
    <s v="AML_VICTORIAL ISLAND"/>
    <s v="gggg"/>
    <s v="as45678"/>
    <s v="dfrre"/>
    <s v="5467t65"/>
    <m/>
    <n v="0"/>
  </r>
  <r>
    <s v="IKJ1000000000"/>
    <x v="1"/>
    <s v="eeeeeeeeeeeeee"/>
    <s v="PT1"/>
    <s v="ALBUMIN"/>
    <s v="6666666666666"/>
    <n v="2"/>
    <s v="PACKS"/>
    <d v="2025-10-29T00:00:00"/>
    <n v="7000"/>
    <s v="AML_VICTORIAL ISLAND"/>
    <s v="gggg"/>
    <s v="as45678"/>
    <s v="dfrre"/>
    <s v="5467t65"/>
    <m/>
    <n v="14000"/>
  </r>
  <r>
    <s v="IKJ1000000005"/>
    <x v="2"/>
    <s v="fffffffrt"/>
    <s v="PT1"/>
    <s v="ALBUMIN"/>
    <s v="ght654"/>
    <n v="6"/>
    <s v="PACKS"/>
    <d v="2024-10-29T00:00:00"/>
    <n v="6767"/>
    <s v="AML_VICTORIAL ISLAND"/>
    <m/>
    <s v="Adenkunle"/>
    <s v="sola"/>
    <s v="lis00008"/>
    <m/>
    <n v="40602"/>
  </r>
  <r>
    <s v="IKJ1000000011"/>
    <x v="3"/>
    <s v="Moning Light"/>
    <s v="PT5"/>
    <s v="AIR FRESHNER"/>
    <s v="253654NC"/>
    <n v="3"/>
    <s v="Pieces"/>
    <d v="2022-12-14T00:00:00"/>
    <n v="500"/>
    <s v="AML_VICTORIAL ISLAND"/>
    <m/>
    <s v="Logati"/>
    <s v="Dispatch Samuel"/>
    <s v="56478yt"/>
    <s v="I no give shi shi again"/>
    <n v="1500"/>
  </r>
  <r>
    <s v="IKJ1000000005"/>
    <x v="3"/>
    <s v="fffffffrt"/>
    <s v="PT1"/>
    <s v="ALBUMIN"/>
    <s v="ght654"/>
    <n v="3"/>
    <s v="PACKS"/>
    <d v="2024-10-29T00:00:00"/>
    <n v="6767"/>
    <s v="AML_VICTORIAL ISLAND"/>
    <s v="Cleaners"/>
    <s v="Chidinma"/>
    <m/>
    <s v="yuiuerww"/>
    <s v="obono mo ti pari"/>
    <n v="20301"/>
  </r>
  <r>
    <s v="IKJ1000000011"/>
    <x v="3"/>
    <s v="Moning Light"/>
    <s v="PT5"/>
    <s v="AIR FRESHNER"/>
    <s v="253654NC"/>
    <n v="3"/>
    <s v="Pieces"/>
    <d v="2022-12-14T00:00:00"/>
    <n v="500"/>
    <s v="AML_IGANDO"/>
    <s v="Monthly requisition"/>
    <s v="Dispatch Okanle"/>
    <s v="Aduewa"/>
    <s v="56789yt"/>
    <m/>
    <n v="1500"/>
  </r>
  <r>
    <s v="IKJ1000000007"/>
    <x v="3"/>
    <s v="Colorado"/>
    <s v="PT2"/>
    <s v="TRIGLYCERIDE"/>
    <s v="345678ra"/>
    <n v="1"/>
    <s v="PACKS"/>
    <d v="2023-10-29T00:00:00"/>
    <n v="56789"/>
    <s v="AML_IGANDO"/>
    <m/>
    <s v="CY"/>
    <s v="Aduewa"/>
    <n v="7777778"/>
    <m/>
    <n v="56789"/>
  </r>
  <r>
    <s v="IKJ1000000005"/>
    <x v="3"/>
    <s v="fffffffrt"/>
    <s v="PT1"/>
    <s v="ALBUMIN"/>
    <s v="ght654"/>
    <n v="1"/>
    <s v="PACKS"/>
    <d v="2024-10-29T00:00:00"/>
    <n v="6767"/>
    <s v="AML_ABUAD"/>
    <m/>
    <s v="Ambali Ekiti"/>
    <s v="Ambode"/>
    <s v="23456y7"/>
    <m/>
    <n v="6767"/>
  </r>
  <r>
    <s v="IKJ1000000012"/>
    <x v="4"/>
    <s v="Grand Market Square"/>
    <s v="PT7"/>
    <s v="Disposable Gown"/>
    <s v="25487985BN"/>
    <n v="10"/>
    <s v="Pieces"/>
    <d v="2029-11-18T00:00:00"/>
    <m/>
    <s v="AML_IKEJA"/>
    <m/>
    <s v="Noble"/>
    <s v="Aduewa"/>
    <s v="456y768"/>
    <m/>
    <n v="0"/>
  </r>
  <r>
    <s v="IKJ1000000000"/>
    <x v="5"/>
    <s v="eeeeeeeeeeeeee"/>
    <s v="PT1"/>
    <s v="ALBUMIN"/>
    <s v="6666666666666"/>
    <n v="8"/>
    <s v="PACKS"/>
    <d v="2025-10-29T00:00:00"/>
    <n v="7000"/>
    <s v="AML_VICTORIAL ISLAND"/>
    <m/>
    <s v="Sola"/>
    <s v="Aduewa"/>
    <s v="tyuio98"/>
    <m/>
    <n v="56000"/>
  </r>
  <r>
    <s v="IKJ1000000006"/>
    <x v="5"/>
    <s v="BIORAD"/>
    <s v="PT1"/>
    <s v="ALBUMIN"/>
    <s v="4532178b"/>
    <n v="4"/>
    <s v="PACKS"/>
    <d v="2027-10-29T00:00:00"/>
    <n v="5600"/>
    <s v="AML_VICTORIAL ISLAND"/>
    <m/>
    <s v="Sola"/>
    <s v="Aduewa"/>
    <s v="tyuio98"/>
    <m/>
    <n v="22400"/>
  </r>
  <r>
    <s v="IKJ1000000015"/>
    <x v="5"/>
    <s v="Bala NG"/>
    <s v="PT12"/>
    <s v="Tissue paper"/>
    <m/>
    <n v="6"/>
    <s v="Pieces"/>
    <d v="2023-12-03T00:00:00"/>
    <n v="200"/>
    <s v="AML_VICTORIAL ISLAND"/>
    <m/>
    <s v="Sola"/>
    <s v="Aduewa"/>
    <s v="ty6u77yt"/>
    <m/>
    <n v="1200"/>
  </r>
  <r>
    <s v="IKJ1000000018"/>
    <x v="6"/>
    <s v="dfffdrte"/>
    <s v="PT4"/>
    <s v="SPECULUM"/>
    <m/>
    <n v="2"/>
    <s v="Pieces"/>
    <d v="2022-12-31T00:00:00"/>
    <n v="600"/>
    <s v="AML_VICTORIAL ISLAND"/>
    <m/>
    <s v="Sola"/>
    <s v="Aduewa"/>
    <s v="rtyuie"/>
    <m/>
    <n v="1200"/>
  </r>
  <r>
    <s v="IKJ1000000018"/>
    <x v="6"/>
    <s v="dfffdrte"/>
    <s v="PT4"/>
    <s v="SPECULUM"/>
    <m/>
    <n v="1"/>
    <s v="Pieces"/>
    <d v="2022-12-31T00:00:00"/>
    <n v="600"/>
    <s v="AML_IGANDO"/>
    <m/>
    <s v="Lucky dispatch"/>
    <s v="Aduewa"/>
    <s v="fromdre"/>
    <m/>
    <n v="600"/>
  </r>
  <r>
    <s v="IKJ1000000019"/>
    <x v="6"/>
    <s v="dfreswe"/>
    <s v="PT1"/>
    <s v="ALBUMIN"/>
    <m/>
    <n v="2"/>
    <s v="PACKS"/>
    <d v="2023-01-01T00:00:00"/>
    <n v="4500"/>
    <s v="AML_IGANDO"/>
    <m/>
    <s v="Israel"/>
    <s v="Aduewa"/>
    <s v="Gfshiom"/>
    <s v="from d bottom of my heart"/>
    <n v="9000"/>
  </r>
  <r>
    <s v="IKJ1000000006"/>
    <x v="6"/>
    <s v="BIORAD"/>
    <s v="PT1"/>
    <s v="ALBUMIN"/>
    <s v="4532178b"/>
    <n v="1"/>
    <s v="PACKS"/>
    <d v="2027-10-29T00:00:00"/>
    <n v="5600"/>
    <s v="AML_IGANDO"/>
    <m/>
    <s v="Israel"/>
    <s v="Aduewa"/>
    <s v="Gfshiom"/>
    <s v="from d bottom of my heart"/>
    <n v="5600"/>
  </r>
  <r>
    <s v="IKJ1000000016"/>
    <x v="6"/>
    <s v="Ambalowo Ng"/>
    <s v="PT12"/>
    <s v="Tissue paper"/>
    <m/>
    <n v="6"/>
    <s v="Pieces"/>
    <d v="2022-12-27T00:00:00"/>
    <n v="600"/>
    <s v="AML_IGANDO"/>
    <m/>
    <s v="Sola"/>
    <s v="Aduewa"/>
    <s v="65tr543323"/>
    <m/>
    <n v="3600"/>
  </r>
  <r>
    <s v="IKJ1000000015"/>
    <x v="6"/>
    <s v="Bala NG"/>
    <s v="PT12"/>
    <s v="Tissue paper"/>
    <m/>
    <n v="6"/>
    <s v="Pieces"/>
    <d v="2023-12-03T00:00:00"/>
    <n v="200"/>
    <s v="AML_IGANDO"/>
    <m/>
    <s v="Sola"/>
    <s v="Aduewa"/>
    <s v="65tr543323"/>
    <m/>
    <n v="1200"/>
  </r>
  <r>
    <s v="IKJ1000000006"/>
    <x v="7"/>
    <s v="BIORAD"/>
    <s v="PT1"/>
    <s v="ALBUMIN"/>
    <s v="4532178b"/>
    <n v="6"/>
    <s v="PACKS"/>
    <d v="2027-10-29T00:00:00"/>
    <n v="5600"/>
    <s v="AML_VICTORIAL ISLAND"/>
    <m/>
    <s v="Sola"/>
    <s v="Ambode"/>
    <s v="EEEE"/>
    <m/>
    <n v="336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IKJ1000000000"/>
    <x v="0"/>
    <s v="AmD"/>
    <s v="PT2"/>
    <s v="TRIGLYCERIDE"/>
    <s v="567876"/>
    <n v="22"/>
    <s v="PACKS"/>
    <d v="2023-10-28T00:00:00"/>
    <n v="7000"/>
    <s v="gfhtyer"/>
    <s v="yuioyter"/>
    <s v="Pathology"/>
    <s v="Chemistry"/>
    <n v="4"/>
    <s v="A"/>
    <n v="154000"/>
  </r>
  <r>
    <s v="IKJ1000000001"/>
    <x v="1"/>
    <s v="Mindray"/>
    <s v="PT2"/>
    <s v="TRIGLYCERIDE"/>
    <s v="567896534gh"/>
    <n v="20"/>
    <s v="PACKS"/>
    <d v="2022-11-03T00:00:00"/>
    <n v="5600"/>
    <s v="tyuoun565"/>
    <s v="5678964534g"/>
    <s v="Pathology"/>
    <s v="Chemistry"/>
    <n v="4"/>
    <s v="A"/>
    <n v="112000"/>
  </r>
  <r>
    <s v="IKJ1000000002"/>
    <x v="1"/>
    <s v="Mindray"/>
    <s v="PT3"/>
    <s v="PROTEIN"/>
    <s v="60987696"/>
    <n v="1"/>
    <s v="U/L"/>
    <d v="2022-12-31T00:00:00"/>
    <n v="5000"/>
    <s v="wertee"/>
    <s v="4hy6789"/>
    <s v="Pathology"/>
    <s v="Chemistry"/>
    <n v="2"/>
    <s v="A"/>
    <n v="5000"/>
  </r>
  <r>
    <s v="IKJ1000000003"/>
    <x v="1"/>
    <s v="Erba AMD"/>
    <s v="PT3"/>
    <s v="PROTEIN"/>
    <s v="34567843er"/>
    <n v="6"/>
    <s v="U/L"/>
    <d v="2023-10-29T00:00:00"/>
    <n v="500"/>
    <s v="ertyuhyt45"/>
    <s v="GHER"/>
    <s v="Pathology"/>
    <s v="Chemistry"/>
    <n v="2"/>
    <s v="A"/>
    <n v="3000"/>
  </r>
  <r>
    <s v="IKJ1000000004"/>
    <x v="1"/>
    <s v="BIORAD"/>
    <s v="PT3"/>
    <s v="PROTEIN"/>
    <s v="rtyui56"/>
    <n v="7"/>
    <s v="U/L"/>
    <d v="2024-10-29T00:00:00"/>
    <n v="3500"/>
    <s v="gf4532"/>
    <s v="fghytrewa"/>
    <s v="Pathology"/>
    <s v="Chemistry"/>
    <n v="2"/>
    <s v="A"/>
    <n v="24500"/>
  </r>
  <r>
    <s v="IKJ1000000000"/>
    <x v="1"/>
    <s v="eeeeeeeeeeeeee"/>
    <s v="PT1"/>
    <s v="ALBUMIN"/>
    <s v="6666666666666"/>
    <n v="10"/>
    <s v="PACKS"/>
    <d v="2025-10-29T00:00:00"/>
    <n v="7000"/>
    <s v="tttttttttt"/>
    <s v="rrrrrrrrrr"/>
    <s v="Pathology"/>
    <s v="Chemistry"/>
    <n v="2"/>
    <s v="A"/>
    <n v="70000"/>
  </r>
  <r>
    <s v="IKJ1000000001"/>
    <x v="1"/>
    <s v="eeeeeeeeeeeeee"/>
    <s v="PT3"/>
    <s v="PROTEIN"/>
    <s v="dddddddddddddd"/>
    <n v="23"/>
    <s v="U/L"/>
    <d v="2025-10-29T00:00:00"/>
    <n v="5600"/>
    <s v="gftettte"/>
    <s v="hyetwtw"/>
    <s v="Pathology"/>
    <s v="Chemistry"/>
    <n v="2"/>
    <s v="A"/>
    <n v="128800"/>
  </r>
  <r>
    <s v="IKJ1000000002"/>
    <x v="1"/>
    <s v="ffffff"/>
    <s v="PT1"/>
    <s v="ALBUMIN"/>
    <s v="5666"/>
    <n v="6"/>
    <s v="PACKS"/>
    <d v="2024-10-29T00:00:00"/>
    <m/>
    <s v="yyyyytt"/>
    <s v="444444"/>
    <s v="Pathology"/>
    <s v="Chemistry"/>
    <n v="2"/>
    <s v="A"/>
    <n v="0"/>
  </r>
  <r>
    <s v="IKJ1000000003"/>
    <x v="1"/>
    <s v="AmD"/>
    <s v="PT3"/>
    <s v="PROTEIN"/>
    <m/>
    <n v="13"/>
    <s v="U/L"/>
    <d v="2024-10-29T00:00:00"/>
    <n v="500"/>
    <s v="54678967"/>
    <s v="tyui876"/>
    <s v="Pathology"/>
    <s v="Chemistry"/>
    <n v="2"/>
    <s v="A"/>
    <n v="6500"/>
  </r>
  <r>
    <s v="IKJ1000000004"/>
    <x v="1"/>
    <s v="ggggggggg"/>
    <s v="PT3"/>
    <s v="PROTEIN"/>
    <s v="rrrrrrrrrrrrrr"/>
    <n v="54"/>
    <s v="U/L"/>
    <d v="2027-10-29T00:00:00"/>
    <n v="5678"/>
    <s v="fret554"/>
    <s v="dfrety55"/>
    <s v="Pathology"/>
    <s v="Chemistry"/>
    <n v="2"/>
    <s v="A"/>
    <n v="306612"/>
  </r>
  <r>
    <s v="IKJ1000000005"/>
    <x v="1"/>
    <s v="fffffffrt"/>
    <s v="PT1"/>
    <s v="ALBUMIN"/>
    <s v="ght654"/>
    <n v="10"/>
    <s v="PACKS"/>
    <d v="2024-10-29T00:00:00"/>
    <n v="6767"/>
    <s v="45533"/>
    <s v="4re3w213"/>
    <s v="Pathology"/>
    <s v="Chemistry"/>
    <n v="2"/>
    <s v="A"/>
    <n v="67670"/>
  </r>
  <r>
    <s v="IKJ1000000006"/>
    <x v="1"/>
    <s v="BIORAD"/>
    <s v="PT1"/>
    <s v="ALBUMIN"/>
    <s v="4532178b"/>
    <n v="22"/>
    <s v="PACKS"/>
    <d v="2027-10-29T00:00:00"/>
    <n v="5600"/>
    <s v="675432"/>
    <s v="tre54345"/>
    <s v="Pathology"/>
    <s v="Chemistry"/>
    <n v="2"/>
    <s v="A"/>
    <n v="123200"/>
  </r>
  <r>
    <s v="IKJ1000000007"/>
    <x v="1"/>
    <s v="Colorado"/>
    <s v="PT2"/>
    <s v="TRIGLYCERIDE"/>
    <s v="345678ra"/>
    <n v="3"/>
    <s v="PACKS"/>
    <d v="2023-10-29T00:00:00"/>
    <n v="56789"/>
    <s v="fr4567yt"/>
    <s v="frtyu675"/>
    <s v="Pathology"/>
    <s v="Chemistry"/>
    <n v="4"/>
    <s v="A"/>
    <n v="170367"/>
  </r>
  <r>
    <s v="IKJ1000000008"/>
    <x v="1"/>
    <s v="Sudabelt"/>
    <s v="PT3"/>
    <s v="PROTEIN"/>
    <s v="4356789"/>
    <n v="12"/>
    <s v="U/L"/>
    <d v="2023-10-29T00:00:00"/>
    <n v="3422"/>
    <s v="789675"/>
    <s v="234565443"/>
    <s v="Pathology"/>
    <s v="Chemistry"/>
    <n v="2"/>
    <s v="A"/>
    <n v="41064"/>
  </r>
  <r>
    <s v="IKJ1000000009"/>
    <x v="2"/>
    <s v="Colorado"/>
    <s v="PT2"/>
    <s v="TRIGLYCERIDE"/>
    <s v="345678ra"/>
    <n v="3"/>
    <s v="PACKS"/>
    <d v="2023-10-29T00:00:00"/>
    <n v="56789"/>
    <s v="fr4567yt"/>
    <s v="frtyu675"/>
    <s v="Pathology"/>
    <s v="Chemistry"/>
    <n v="4"/>
    <s v="A"/>
    <n v="170367"/>
  </r>
  <r>
    <s v="IKJ1000000010"/>
    <x v="3"/>
    <s v="AMD Lagos"/>
    <s v="PT6"/>
    <s v="Ultrasound gel"/>
    <s v="1024lki"/>
    <n v="18"/>
    <s v="PACK"/>
    <d v="2023-11-14T00:00:00"/>
    <m/>
    <s v="fty6re4"/>
    <s v="45897kj"/>
    <s v="Radiology"/>
    <s v="Ultrasound"/>
    <n v="1"/>
    <s v="C"/>
    <n v="0"/>
  </r>
  <r>
    <s v="IKJ1000000014"/>
    <x v="4"/>
    <s v="ISN Medicals"/>
    <s v="PT15"/>
    <s v="Beta HCG"/>
    <s v="21025412"/>
    <n v="15"/>
    <s v="PACKS"/>
    <d v="2022-12-16T00:00:00"/>
    <n v="2000"/>
    <s v="gdgdggdg"/>
    <s v="GHTyw6"/>
    <s v="Pathology"/>
    <s v="Serology"/>
    <n v="1"/>
    <s v="B"/>
    <n v="30000"/>
  </r>
  <r>
    <s v="IKJ1000000015"/>
    <x v="5"/>
    <s v="Bala NG"/>
    <s v="PT12"/>
    <s v="Tissue paper"/>
    <m/>
    <n v="48"/>
    <s v="PIECES"/>
    <d v="2023-12-03T00:00:00"/>
    <n v="200"/>
    <s v="gtr5er"/>
    <s v="897678hy"/>
    <s v="Genral &amp; Sundry"/>
    <s v="Other"/>
    <n v="12"/>
    <s v="A"/>
    <n v="9600"/>
  </r>
  <r>
    <s v="IKJ1000000016"/>
    <x v="6"/>
    <s v="Ambalowo Ng"/>
    <s v="PT12"/>
    <s v="Tissue paper"/>
    <m/>
    <n v="6"/>
    <s v="PIECES"/>
    <d v="2022-12-27T00:00:00"/>
    <n v="600"/>
    <s v="rereref4"/>
    <s v="truy746"/>
    <s v="Genral &amp; Sundry"/>
    <s v="Other"/>
    <n v="12"/>
    <s v="A"/>
    <n v="3600"/>
  </r>
  <r>
    <s v="IKJ1000000017"/>
    <x v="6"/>
    <s v="JIUYl NG"/>
    <s v="PT7"/>
    <s v="Disposable Gown"/>
    <m/>
    <n v="5"/>
    <s v="PIECES"/>
    <d v="2022-12-21T00:00:00"/>
    <n v="6000"/>
    <s v="fdggdggd"/>
    <s v="gdhdgd"/>
    <s v="Molecular"/>
    <s v="Other"/>
    <n v="10"/>
    <s v="B"/>
    <n v="30000"/>
  </r>
  <r>
    <s v="IKJ1000000018"/>
    <x v="6"/>
    <s v="dfffdrte"/>
    <s v="PT4"/>
    <s v="SPECULUM"/>
    <m/>
    <n v="15"/>
    <s v="PIECES"/>
    <d v="2022-12-31T00:00:00"/>
    <n v="600"/>
    <s v="vhytd"/>
    <s v="rdfrhgtr56"/>
    <s v="Cardiology"/>
    <s v="ECG"/>
    <n v="2"/>
    <s v="B"/>
    <n v="9000"/>
  </r>
  <r>
    <s v="IKJ1000000019"/>
    <x v="6"/>
    <s v="dfreswe"/>
    <s v="PT1"/>
    <s v="ALBUMIN"/>
    <m/>
    <n v="2"/>
    <s v="PACKS"/>
    <d v="2023-01-01T00:00:00"/>
    <n v="4500"/>
    <s v="kjiuhygtf"/>
    <s v="gtyr5ew"/>
    <s v="Pathology"/>
    <s v="Chemistry"/>
    <n v="2"/>
    <s v="A"/>
    <n v="9000"/>
  </r>
  <r>
    <s v="IKJ1000000020"/>
    <x v="7"/>
    <s v="freds"/>
    <s v="PT17"/>
    <s v="Barcode Paper"/>
    <m/>
    <n v="3"/>
    <s v="PIECES"/>
    <d v="2024-12-06T00:00:00"/>
    <n v="500"/>
    <s v="ooiu"/>
    <s v="21nb"/>
    <s v="Pathology"/>
    <s v="Other"/>
    <n v="2"/>
    <s v="B"/>
    <n v="1500"/>
  </r>
  <r>
    <s v="IKJ1000000021"/>
    <x v="8"/>
    <s v="IKEJA STORE"/>
    <s v="PT12"/>
    <s v="Tissue paper"/>
    <m/>
    <n v="10"/>
    <s v="PIECES"/>
    <d v="2023-01-12T00:00:00"/>
    <m/>
    <s v="67890OPI8UYT"/>
    <s v="DFFDD"/>
    <s v="Genral &amp; Sundry"/>
    <s v="Other"/>
    <n v="12"/>
    <s v="A"/>
    <n v="0"/>
  </r>
  <r>
    <s v="IKJ1000000022"/>
    <x v="8"/>
    <s v="kkahhs"/>
    <s v="PT5"/>
    <s v="AIR FRESHNER"/>
    <m/>
    <n v="1"/>
    <s v="PIECES"/>
    <d v="2022-12-28T00:00:00"/>
    <n v="600"/>
    <s v="reteeds"/>
    <s v="jkiuytf"/>
    <s v="General and Sundray"/>
    <s v="General"/>
    <n v="3"/>
    <s v="C"/>
    <n v="6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21BC15-7C57-463F-8C65-284DC6453450}" name="requisitionPivotTable" cacheId="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3:B12" firstHeaderRow="1" firstDataRow="1" firstDataCol="1"/>
  <pivotFields count="19">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numFmtId="1" showAll="0"/>
    <pivotField showAll="0"/>
    <pivotField numFmtId="14" showAll="0"/>
    <pivotField showAll="0"/>
    <pivotField showAll="0"/>
    <pivotField showAll="0"/>
    <pivotField showAll="0"/>
    <pivotField showAll="0"/>
    <pivotField showAll="0"/>
    <pivotField showAll="0"/>
    <pivotField dataField="1" numFmtId="166"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
  </rowFields>
  <rowItems count="9">
    <i>
      <x v="302"/>
    </i>
    <i>
      <x v="303"/>
    </i>
    <i>
      <x v="309"/>
    </i>
    <i>
      <x v="321"/>
    </i>
    <i>
      <x v="323"/>
    </i>
    <i>
      <x v="338"/>
    </i>
    <i>
      <x v="339"/>
    </i>
    <i>
      <x v="344"/>
    </i>
    <i t="grand">
      <x/>
    </i>
  </rowItems>
  <colItems count="1">
    <i/>
  </colItems>
  <dataFields count="1">
    <dataField name="Sum of COST"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C065C8-EE63-4897-91F7-5505D4622E45}" name="purchasesPivotTable" cacheId="33"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3:B13" firstHeaderRow="1" firstDataRow="1" firstDataCol="1"/>
  <pivotFields count="19">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numFmtId="1" showAll="0"/>
    <pivotField showAll="0"/>
    <pivotField numFmtId="14" showAll="0"/>
    <pivotField showAll="0"/>
    <pivotField showAll="0"/>
    <pivotField showAll="0"/>
    <pivotField showAll="0"/>
    <pivotField showAll="0"/>
    <pivotField numFmtId="1" showAll="0"/>
    <pivotField showAll="0"/>
    <pivotField dataField="1" numFmtId="166"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
  </rowFields>
  <rowItems count="10">
    <i>
      <x v="302"/>
    </i>
    <i>
      <x v="303"/>
    </i>
    <i>
      <x v="309"/>
    </i>
    <i>
      <x v="319"/>
    </i>
    <i>
      <x v="332"/>
    </i>
    <i>
      <x v="338"/>
    </i>
    <i>
      <x v="339"/>
    </i>
    <i>
      <x v="341"/>
    </i>
    <i>
      <x v="344"/>
    </i>
    <i t="grand">
      <x/>
    </i>
  </rowItems>
  <colItems count="1">
    <i/>
  </colItems>
  <dataFields count="1">
    <dataField name="Sum of COST"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q_monthSlicerCache" xr10:uid="{6882C96A-AD34-4F86-A56B-DC5C788D8427}" sourceName="Months">
  <pivotTables>
    <pivotTable tabId="2274" name="requisitionPivotTable"/>
  </pivotTables>
  <data>
    <tabular pivotCacheId="597956110">
      <items count="14">
        <i x="10" s="1"/>
        <i x="11" s="1"/>
        <i x="12" s="1"/>
        <i x="1" s="1" nd="1"/>
        <i x="2" s="1" nd="1"/>
        <i x="3" s="1" nd="1"/>
        <i x="4" s="1" nd="1"/>
        <i x="5" s="1" nd="1"/>
        <i x="6" s="1" nd="1"/>
        <i x="7" s="1" nd="1"/>
        <i x="8" s="1" nd="1"/>
        <i x="9" s="1" nd="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q_yearSlicerCache" xr10:uid="{F678598C-FFAC-4EB2-986D-25B09E621FF0}" sourceName="Years">
  <pivotTables>
    <pivotTable tabId="2274" name="requisitionPivotTable"/>
  </pivotTables>
  <data>
    <tabular pivotCacheId="597956110">
      <items count="3">
        <i x="1" s="1"/>
        <i x="0"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monthSlicerCache" xr10:uid="{6DB04997-C7B7-4559-88FD-F7F92374F7FE}" sourceName="Months">
  <pivotTables>
    <pivotTable tabId="2275" name="purchasesPivotTable"/>
  </pivotTables>
  <data>
    <tabular pivotCacheId="1100834190">
      <items count="14">
        <i x="10" s="1"/>
        <i x="11" s="1"/>
        <i x="12" s="1"/>
        <i x="1" s="1" nd="1"/>
        <i x="2" s="1" nd="1"/>
        <i x="3" s="1" nd="1"/>
        <i x="4" s="1" nd="1"/>
        <i x="5" s="1" nd="1"/>
        <i x="6" s="1" nd="1"/>
        <i x="7" s="1" nd="1"/>
        <i x="8" s="1" nd="1"/>
        <i x="9" s="1" nd="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yearSlicerCache" xr10:uid="{0C16BD83-180C-4837-9D14-80B700608DFC}" sourceName="Years">
  <pivotTables>
    <pivotTable tabId="2275" name="purchasesPivotTable"/>
  </pivotTables>
  <data>
    <tabular pivotCacheId="1100834190">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q_monthSlicer" xr10:uid="{9CF1A6EE-586E-4BDD-92E5-53BC53BC54F3}" cache="req_monthSlicerCache" caption="Choose a month" rowHeight="234950"/>
  <slicer name="req_yearSlicer" xr10:uid="{3555FDC4-34B0-4DD8-BB91-56383671D9FD}" cache="req_yearSlicerCache" caption="Choose a 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licer" xr10:uid="{03C18AC7-233A-4E82-9DAF-594E353F7F35}" cache="monthSlicerCache" caption="Choose a month" rowHeight="234950"/>
  <slicer name="yearSlicer" xr10:uid="{4BD43500-3893-421E-B227-EE8211163C20}" cache="yearSlicerCache" caption="Choose a Yea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72E3-CAAD-442A-B16B-169450B63C43}">
  <sheetPr codeName="Sheet1"/>
  <dimension ref="A1:AE18"/>
  <sheetViews>
    <sheetView topLeftCell="I1" zoomScale="115" zoomScaleNormal="115" workbookViewId="0">
      <selection activeCell="R3" sqref="R3"/>
    </sheetView>
  </sheetViews>
  <sheetFormatPr defaultRowHeight="14.4" x14ac:dyDescent="0.3"/>
  <cols>
    <col min="1" max="1" width="16" bestFit="1" customWidth="1"/>
    <col min="2" max="2" width="12.109375" style="1" bestFit="1" customWidth="1"/>
    <col min="3" max="3" width="18.21875" style="6" bestFit="1" customWidth="1"/>
    <col min="4" max="4" width="12.44140625" style="6" bestFit="1" customWidth="1"/>
    <col min="5" max="5" width="13.33203125" style="6" bestFit="1" customWidth="1"/>
    <col min="6" max="6" width="12.6640625" style="6" bestFit="1" customWidth="1"/>
    <col min="7" max="7" width="10.44140625" style="4" bestFit="1" customWidth="1"/>
    <col min="8" max="8" width="16.88671875" style="6" bestFit="1" customWidth="1"/>
    <col min="9" max="9" width="14" style="1" bestFit="1" customWidth="1"/>
    <col min="10" max="10" width="14" style="8" customWidth="1"/>
    <col min="11" max="12" width="14" style="6" customWidth="1"/>
    <col min="13" max="13" width="14.6640625" style="6" bestFit="1" customWidth="1"/>
    <col min="14" max="14" width="19.33203125" style="6" bestFit="1" customWidth="1"/>
    <col min="15" max="15" width="19.33203125" style="4" customWidth="1"/>
    <col min="16" max="16" width="20.21875" style="6" bestFit="1" customWidth="1"/>
    <col min="17" max="17" width="9.6640625" style="4" bestFit="1" customWidth="1"/>
    <col min="18" max="18" width="11.21875" bestFit="1" customWidth="1"/>
    <col min="24" max="24" width="13.6640625" bestFit="1" customWidth="1"/>
    <col min="25" max="25" width="11.6640625" style="6" bestFit="1" customWidth="1"/>
    <col min="26" max="26" width="14.21875" style="4" bestFit="1" customWidth="1"/>
    <col min="29" max="29" width="11.6640625" bestFit="1" customWidth="1"/>
    <col min="30" max="30" width="11.6640625" style="21" bestFit="1" customWidth="1"/>
  </cols>
  <sheetData>
    <row r="1" spans="1:31" x14ac:dyDescent="0.3">
      <c r="A1" s="2" t="s">
        <v>10</v>
      </c>
      <c r="B1" s="9" t="s">
        <v>9</v>
      </c>
      <c r="C1" s="5" t="s">
        <v>11</v>
      </c>
      <c r="D1" s="5" t="s">
        <v>12</v>
      </c>
      <c r="E1" s="5" t="s">
        <v>13</v>
      </c>
      <c r="F1" s="5" t="s">
        <v>14</v>
      </c>
      <c r="G1" s="3" t="s">
        <v>7</v>
      </c>
      <c r="H1" s="5" t="s">
        <v>47</v>
      </c>
      <c r="I1" s="9" t="s">
        <v>15</v>
      </c>
      <c r="J1" s="7" t="s">
        <v>16</v>
      </c>
      <c r="K1" s="5" t="s">
        <v>17</v>
      </c>
      <c r="L1" s="5" t="s">
        <v>18</v>
      </c>
      <c r="M1" s="5" t="s">
        <v>19</v>
      </c>
      <c r="N1" s="5" t="s">
        <v>20</v>
      </c>
      <c r="O1" s="3" t="s">
        <v>27</v>
      </c>
      <c r="P1" s="5" t="s">
        <v>28</v>
      </c>
      <c r="Q1" s="3" t="s">
        <v>75</v>
      </c>
      <c r="R1" s="5"/>
      <c r="W1" s="2"/>
      <c r="Y1" s="5" t="s">
        <v>87</v>
      </c>
      <c r="Z1" s="3">
        <v>1000000023</v>
      </c>
      <c r="AC1" t="s">
        <v>187</v>
      </c>
      <c r="AD1" s="23">
        <v>817321</v>
      </c>
    </row>
    <row r="2" spans="1:31" x14ac:dyDescent="0.3">
      <c r="A2" t="s">
        <v>161</v>
      </c>
      <c r="B2" s="1">
        <v>44879</v>
      </c>
      <c r="C2" s="6" t="s">
        <v>162</v>
      </c>
      <c r="D2" s="6" t="s">
        <v>158</v>
      </c>
      <c r="E2" s="6" t="s">
        <v>159</v>
      </c>
      <c r="F2" s="6" t="s">
        <v>163</v>
      </c>
      <c r="G2" s="4">
        <v>18</v>
      </c>
      <c r="H2" s="6" t="s">
        <v>160</v>
      </c>
      <c r="I2" s="1">
        <v>44149</v>
      </c>
      <c r="K2" s="6" t="s">
        <v>164</v>
      </c>
      <c r="L2" s="6" t="s">
        <v>165</v>
      </c>
      <c r="M2" s="6" t="s">
        <v>32</v>
      </c>
      <c r="N2" s="6" t="s">
        <v>34</v>
      </c>
      <c r="O2" s="4">
        <v>1</v>
      </c>
      <c r="P2" s="6" t="s">
        <v>30</v>
      </c>
      <c r="Q2" s="4">
        <f ca="1">I2-NOW()</f>
        <v>-759.28849467592954</v>
      </c>
    </row>
    <row r="3" spans="1:31" x14ac:dyDescent="0.3">
      <c r="A3" t="s">
        <v>125</v>
      </c>
      <c r="B3" s="1">
        <v>44863</v>
      </c>
      <c r="C3" s="6" t="s">
        <v>126</v>
      </c>
      <c r="D3" s="6" t="s">
        <v>44</v>
      </c>
      <c r="E3" s="6" t="s">
        <v>45</v>
      </c>
      <c r="F3" s="6" t="s">
        <v>127</v>
      </c>
      <c r="G3" s="4">
        <v>12</v>
      </c>
      <c r="H3" s="6" t="s">
        <v>46</v>
      </c>
      <c r="I3" s="1">
        <v>44498</v>
      </c>
      <c r="J3" s="8">
        <v>3422</v>
      </c>
      <c r="K3" s="6" t="s">
        <v>128</v>
      </c>
      <c r="L3" s="6" t="s">
        <v>129</v>
      </c>
      <c r="M3" s="6" t="s">
        <v>21</v>
      </c>
      <c r="N3" s="6" t="s">
        <v>22</v>
      </c>
      <c r="O3" s="4">
        <v>2</v>
      </c>
      <c r="P3" s="6" t="s">
        <v>25</v>
      </c>
      <c r="Q3" s="4">
        <f t="shared" ref="Q3:Q18" ca="1" si="0">I3-NOW()</f>
        <v>-410.28849467592954</v>
      </c>
      <c r="AE3" s="22"/>
    </row>
    <row r="4" spans="1:31" x14ac:dyDescent="0.3">
      <c r="A4" t="s">
        <v>250</v>
      </c>
      <c r="B4" s="1">
        <v>44892</v>
      </c>
      <c r="C4" s="6" t="s">
        <v>251</v>
      </c>
      <c r="D4" s="6" t="s">
        <v>248</v>
      </c>
      <c r="E4" s="6" t="s">
        <v>249</v>
      </c>
      <c r="F4" s="6" t="s">
        <v>252</v>
      </c>
      <c r="G4" s="4">
        <v>15</v>
      </c>
      <c r="H4" s="6" t="s">
        <v>43</v>
      </c>
      <c r="I4" s="1">
        <v>44911</v>
      </c>
      <c r="J4" s="8">
        <v>2000</v>
      </c>
      <c r="K4" s="6" t="s">
        <v>253</v>
      </c>
      <c r="L4" s="6" t="s">
        <v>254</v>
      </c>
      <c r="M4" s="6" t="s">
        <v>21</v>
      </c>
      <c r="N4" s="6" t="s">
        <v>35</v>
      </c>
      <c r="O4" s="4">
        <v>1</v>
      </c>
      <c r="P4" s="6" t="s">
        <v>29</v>
      </c>
      <c r="Q4" s="4">
        <f t="shared" ca="1" si="0"/>
        <v>2.7115053240704583</v>
      </c>
    </row>
    <row r="5" spans="1:31" x14ac:dyDescent="0.3">
      <c r="A5" t="s">
        <v>269</v>
      </c>
      <c r="B5" s="1">
        <v>44899</v>
      </c>
      <c r="C5" s="6" t="s">
        <v>270</v>
      </c>
      <c r="D5" s="6" t="s">
        <v>189</v>
      </c>
      <c r="E5" s="6" t="s">
        <v>190</v>
      </c>
      <c r="G5" s="4">
        <v>5</v>
      </c>
      <c r="H5" s="6" t="s">
        <v>191</v>
      </c>
      <c r="I5" s="1">
        <v>44916</v>
      </c>
      <c r="J5" s="8">
        <v>6000</v>
      </c>
      <c r="K5" s="6" t="s">
        <v>271</v>
      </c>
      <c r="L5" s="6" t="s">
        <v>272</v>
      </c>
      <c r="M5" s="6" t="s">
        <v>38</v>
      </c>
      <c r="N5" s="6" t="s">
        <v>40</v>
      </c>
      <c r="O5" s="4">
        <v>10</v>
      </c>
      <c r="P5" s="6" t="s">
        <v>29</v>
      </c>
      <c r="Q5" s="4">
        <f t="shared" ca="1" si="0"/>
        <v>7.7115053240704583</v>
      </c>
    </row>
    <row r="6" spans="1:31" x14ac:dyDescent="0.3">
      <c r="A6" t="s">
        <v>303</v>
      </c>
      <c r="B6" s="1">
        <v>44904</v>
      </c>
      <c r="C6" s="6" t="s">
        <v>304</v>
      </c>
      <c r="D6" s="6" t="s">
        <v>143</v>
      </c>
      <c r="E6" s="6" t="s">
        <v>144</v>
      </c>
      <c r="G6" s="4">
        <v>1</v>
      </c>
      <c r="H6" s="6" t="s">
        <v>138</v>
      </c>
      <c r="I6" s="1">
        <v>44923</v>
      </c>
      <c r="J6" s="8">
        <v>600</v>
      </c>
      <c r="K6" s="6" t="s">
        <v>305</v>
      </c>
      <c r="L6" s="6" t="s">
        <v>306</v>
      </c>
      <c r="M6" s="6" t="s">
        <v>145</v>
      </c>
      <c r="N6" s="6" t="s">
        <v>146</v>
      </c>
      <c r="O6" s="4">
        <v>3</v>
      </c>
      <c r="P6" s="6" t="s">
        <v>30</v>
      </c>
      <c r="Q6" s="4">
        <f t="shared" ca="1" si="0"/>
        <v>14.711505324070458</v>
      </c>
    </row>
    <row r="7" spans="1:31" x14ac:dyDescent="0.3">
      <c r="A7" t="s">
        <v>273</v>
      </c>
      <c r="B7" s="1">
        <v>44899</v>
      </c>
      <c r="C7" s="6" t="s">
        <v>274</v>
      </c>
      <c r="D7" s="6" t="s">
        <v>135</v>
      </c>
      <c r="E7" s="6" t="s">
        <v>136</v>
      </c>
      <c r="G7" s="4">
        <v>12</v>
      </c>
      <c r="H7" s="6" t="s">
        <v>138</v>
      </c>
      <c r="I7" s="1">
        <v>44926</v>
      </c>
      <c r="J7" s="8">
        <v>600</v>
      </c>
      <c r="K7" s="6" t="s">
        <v>275</v>
      </c>
      <c r="L7" s="6" t="s">
        <v>276</v>
      </c>
      <c r="M7" s="6" t="s">
        <v>31</v>
      </c>
      <c r="N7" s="6" t="s">
        <v>137</v>
      </c>
      <c r="O7" s="4">
        <v>2</v>
      </c>
      <c r="P7" s="6" t="s">
        <v>29</v>
      </c>
      <c r="Q7" s="4">
        <f t="shared" ca="1" si="0"/>
        <v>17.711505324070458</v>
      </c>
    </row>
    <row r="8" spans="1:31" x14ac:dyDescent="0.3">
      <c r="A8" t="s">
        <v>298</v>
      </c>
      <c r="B8" s="1">
        <v>44904</v>
      </c>
      <c r="C8" s="6" t="s">
        <v>299</v>
      </c>
      <c r="D8" s="6" t="s">
        <v>257</v>
      </c>
      <c r="E8" s="6" t="s">
        <v>258</v>
      </c>
      <c r="G8" s="4">
        <v>10</v>
      </c>
      <c r="H8" s="6" t="s">
        <v>191</v>
      </c>
      <c r="I8" s="1">
        <v>44938</v>
      </c>
      <c r="K8" s="6" t="s">
        <v>300</v>
      </c>
      <c r="L8" s="6" t="s">
        <v>301</v>
      </c>
      <c r="M8" s="6" t="s">
        <v>39</v>
      </c>
      <c r="N8" s="6" t="s">
        <v>40</v>
      </c>
      <c r="O8" s="4">
        <v>12</v>
      </c>
      <c r="P8" s="6" t="s">
        <v>25</v>
      </c>
      <c r="Q8" s="4">
        <f t="shared" ca="1" si="0"/>
        <v>29.711505324070458</v>
      </c>
    </row>
    <row r="9" spans="1:31" x14ac:dyDescent="0.3">
      <c r="A9" t="s">
        <v>119</v>
      </c>
      <c r="B9" s="1">
        <v>44863</v>
      </c>
      <c r="C9" s="6" t="s">
        <v>120</v>
      </c>
      <c r="D9" s="6" t="s">
        <v>8</v>
      </c>
      <c r="E9" s="6" t="s">
        <v>41</v>
      </c>
      <c r="F9" s="6" t="s">
        <v>121</v>
      </c>
      <c r="G9" s="4">
        <v>2</v>
      </c>
      <c r="H9" s="6" t="s">
        <v>43</v>
      </c>
      <c r="I9" s="1">
        <v>45228</v>
      </c>
      <c r="J9" s="8">
        <v>56789</v>
      </c>
      <c r="K9" s="6" t="s">
        <v>122</v>
      </c>
      <c r="L9" s="6" t="s">
        <v>123</v>
      </c>
      <c r="M9" s="6" t="s">
        <v>21</v>
      </c>
      <c r="N9" s="6" t="s">
        <v>22</v>
      </c>
      <c r="O9" s="4">
        <v>4</v>
      </c>
      <c r="P9" s="6" t="s">
        <v>25</v>
      </c>
      <c r="Q9" s="4">
        <f t="shared" ca="1" si="0"/>
        <v>319.71150532407046</v>
      </c>
    </row>
    <row r="10" spans="1:31" x14ac:dyDescent="0.3">
      <c r="A10" t="s">
        <v>153</v>
      </c>
      <c r="B10" s="1">
        <v>44869</v>
      </c>
      <c r="C10" s="6" t="s">
        <v>120</v>
      </c>
      <c r="D10" s="6" t="s">
        <v>8</v>
      </c>
      <c r="E10" s="6" t="s">
        <v>41</v>
      </c>
      <c r="F10" s="6" t="s">
        <v>121</v>
      </c>
      <c r="G10" s="4">
        <v>3</v>
      </c>
      <c r="H10" s="6" t="s">
        <v>43</v>
      </c>
      <c r="I10" s="1">
        <v>45228</v>
      </c>
      <c r="J10" s="8">
        <v>56789</v>
      </c>
      <c r="K10" s="6" t="s">
        <v>122</v>
      </c>
      <c r="L10" s="6" t="s">
        <v>123</v>
      </c>
      <c r="M10" s="6" t="s">
        <v>21</v>
      </c>
      <c r="N10" s="6" t="s">
        <v>22</v>
      </c>
      <c r="O10" s="4">
        <v>4</v>
      </c>
      <c r="P10" s="6" t="s">
        <v>25</v>
      </c>
      <c r="Q10" s="4">
        <f t="shared" ca="1" si="0"/>
        <v>319.71150532407046</v>
      </c>
    </row>
    <row r="11" spans="1:31" x14ac:dyDescent="0.3">
      <c r="A11" t="s">
        <v>259</v>
      </c>
      <c r="B11" s="1">
        <v>44898</v>
      </c>
      <c r="C11" s="6" t="s">
        <v>260</v>
      </c>
      <c r="D11" s="6" t="s">
        <v>257</v>
      </c>
      <c r="E11" s="6" t="s">
        <v>258</v>
      </c>
      <c r="G11" s="4">
        <v>36</v>
      </c>
      <c r="H11" s="6" t="s">
        <v>191</v>
      </c>
      <c r="I11" s="1">
        <v>45263</v>
      </c>
      <c r="J11" s="8">
        <v>200</v>
      </c>
      <c r="K11" s="6" t="s">
        <v>261</v>
      </c>
      <c r="L11" s="6" t="s">
        <v>262</v>
      </c>
      <c r="M11" s="6" t="s">
        <v>39</v>
      </c>
      <c r="N11" s="6" t="s">
        <v>40</v>
      </c>
      <c r="O11" s="4">
        <v>12</v>
      </c>
      <c r="P11" s="6" t="s">
        <v>25</v>
      </c>
      <c r="Q11" s="4">
        <f t="shared" ca="1" si="0"/>
        <v>354.71150532407046</v>
      </c>
    </row>
    <row r="12" spans="1:31" x14ac:dyDescent="0.3">
      <c r="A12" t="s">
        <v>56</v>
      </c>
      <c r="B12" s="1">
        <v>44863</v>
      </c>
      <c r="C12" s="6" t="s">
        <v>105</v>
      </c>
      <c r="D12" s="6" t="s">
        <v>44</v>
      </c>
      <c r="E12" s="6" t="s">
        <v>45</v>
      </c>
      <c r="G12" s="4">
        <v>13</v>
      </c>
      <c r="H12" s="6" t="s">
        <v>46</v>
      </c>
      <c r="I12" s="1">
        <v>45594</v>
      </c>
      <c r="J12" s="8">
        <v>500</v>
      </c>
      <c r="K12" s="6" t="s">
        <v>106</v>
      </c>
      <c r="L12" s="6" t="s">
        <v>107</v>
      </c>
      <c r="M12" s="6" t="s">
        <v>21</v>
      </c>
      <c r="N12" s="6" t="s">
        <v>22</v>
      </c>
      <c r="O12" s="4">
        <v>2</v>
      </c>
      <c r="P12" s="6" t="s">
        <v>25</v>
      </c>
      <c r="Q12" s="4">
        <f t="shared" ca="1" si="0"/>
        <v>685.71150532407046</v>
      </c>
    </row>
    <row r="13" spans="1:31" x14ac:dyDescent="0.3">
      <c r="A13" t="s">
        <v>293</v>
      </c>
      <c r="B13" s="1">
        <v>44901</v>
      </c>
      <c r="C13" s="6" t="s">
        <v>294</v>
      </c>
      <c r="D13" s="6" t="s">
        <v>291</v>
      </c>
      <c r="E13" s="6" t="s">
        <v>292</v>
      </c>
      <c r="G13" s="4">
        <v>3</v>
      </c>
      <c r="H13" s="6" t="s">
        <v>191</v>
      </c>
      <c r="I13" s="1">
        <v>45632</v>
      </c>
      <c r="J13" s="8">
        <v>500</v>
      </c>
      <c r="K13" s="6" t="s">
        <v>295</v>
      </c>
      <c r="L13" s="6" t="s">
        <v>296</v>
      </c>
      <c r="M13" s="6" t="s">
        <v>21</v>
      </c>
      <c r="N13" s="6" t="s">
        <v>40</v>
      </c>
      <c r="O13" s="4">
        <v>2</v>
      </c>
      <c r="P13" s="6" t="s">
        <v>29</v>
      </c>
      <c r="Q13" s="4">
        <f t="shared" ca="1" si="0"/>
        <v>723.71150532407046</v>
      </c>
    </row>
    <row r="14" spans="1:31" x14ac:dyDescent="0.3">
      <c r="A14" t="s">
        <v>49</v>
      </c>
      <c r="B14" s="1">
        <v>44863</v>
      </c>
      <c r="C14" s="6" t="s">
        <v>88</v>
      </c>
      <c r="D14" s="6" t="s">
        <v>44</v>
      </c>
      <c r="E14" s="6" t="s">
        <v>45</v>
      </c>
      <c r="F14" s="6" t="s">
        <v>92</v>
      </c>
      <c r="G14" s="4">
        <v>23</v>
      </c>
      <c r="H14" s="6" t="s">
        <v>46</v>
      </c>
      <c r="I14" s="1">
        <v>45959</v>
      </c>
      <c r="J14" s="8">
        <v>5600</v>
      </c>
      <c r="K14" s="6" t="s">
        <v>93</v>
      </c>
      <c r="L14" s="6" t="s">
        <v>94</v>
      </c>
      <c r="M14" s="6" t="s">
        <v>21</v>
      </c>
      <c r="N14" s="6" t="s">
        <v>22</v>
      </c>
      <c r="O14" s="4">
        <v>2</v>
      </c>
      <c r="P14" s="6" t="s">
        <v>25</v>
      </c>
      <c r="Q14" s="4">
        <f t="shared" ca="1" si="0"/>
        <v>1050.7115053240705</v>
      </c>
    </row>
    <row r="15" spans="1:31" x14ac:dyDescent="0.3">
      <c r="A15" t="s">
        <v>58</v>
      </c>
      <c r="B15" s="1">
        <v>44863</v>
      </c>
      <c r="C15" s="6" t="s">
        <v>108</v>
      </c>
      <c r="D15" s="6" t="s">
        <v>44</v>
      </c>
      <c r="E15" s="6" t="s">
        <v>45</v>
      </c>
      <c r="F15" s="6" t="s">
        <v>109</v>
      </c>
      <c r="G15" s="4">
        <v>54</v>
      </c>
      <c r="H15" s="6" t="s">
        <v>46</v>
      </c>
      <c r="I15" s="1">
        <v>46689</v>
      </c>
      <c r="J15" s="8">
        <v>5678</v>
      </c>
      <c r="K15" s="6" t="s">
        <v>110</v>
      </c>
      <c r="L15" s="6" t="s">
        <v>111</v>
      </c>
      <c r="M15" s="6" t="s">
        <v>21</v>
      </c>
      <c r="N15" s="6" t="s">
        <v>22</v>
      </c>
      <c r="O15" s="4">
        <v>2</v>
      </c>
      <c r="P15" s="6" t="s">
        <v>25</v>
      </c>
      <c r="Q15" s="4">
        <f t="shared" ca="1" si="0"/>
        <v>1780.7115053240705</v>
      </c>
    </row>
    <row r="16" spans="1:31" x14ac:dyDescent="0.3">
      <c r="A16" t="s">
        <v>114</v>
      </c>
      <c r="B16" s="1">
        <v>44863</v>
      </c>
      <c r="C16" s="6" t="s">
        <v>115</v>
      </c>
      <c r="D16" s="6" t="s">
        <v>3</v>
      </c>
      <c r="E16" s="6" t="s">
        <v>24</v>
      </c>
      <c r="F16" s="6" t="s">
        <v>116</v>
      </c>
      <c r="G16" s="4">
        <v>11</v>
      </c>
      <c r="H16" s="6" t="s">
        <v>43</v>
      </c>
      <c r="I16" s="1">
        <v>46689</v>
      </c>
      <c r="J16" s="8">
        <v>5600</v>
      </c>
      <c r="K16" s="6" t="s">
        <v>117</v>
      </c>
      <c r="L16" s="6" t="s">
        <v>118</v>
      </c>
      <c r="M16" s="6" t="s">
        <v>1</v>
      </c>
      <c r="N16" s="6" t="s">
        <v>2</v>
      </c>
      <c r="O16" s="4">
        <v>2</v>
      </c>
      <c r="P16" s="6" t="s">
        <v>25</v>
      </c>
      <c r="Q16" s="4">
        <f t="shared" ca="1" si="0"/>
        <v>1780.7115053240705</v>
      </c>
    </row>
    <row r="17" spans="1:17" x14ac:dyDescent="0.3">
      <c r="A17" t="s">
        <v>192</v>
      </c>
      <c r="B17" s="1">
        <v>44883</v>
      </c>
      <c r="C17" s="6" t="s">
        <v>193</v>
      </c>
      <c r="D17" s="6" t="s">
        <v>189</v>
      </c>
      <c r="E17" s="6" t="s">
        <v>190</v>
      </c>
      <c r="F17" s="6" t="s">
        <v>194</v>
      </c>
      <c r="G17" s="4">
        <v>40</v>
      </c>
      <c r="H17" s="6" t="s">
        <v>191</v>
      </c>
      <c r="I17" s="1">
        <v>47440</v>
      </c>
      <c r="K17" s="6" t="s">
        <v>195</v>
      </c>
      <c r="L17" s="6" t="s">
        <v>196</v>
      </c>
      <c r="M17" s="6" t="s">
        <v>38</v>
      </c>
      <c r="N17" s="6" t="s">
        <v>40</v>
      </c>
      <c r="O17" s="4">
        <v>10</v>
      </c>
      <c r="P17" s="6" t="s">
        <v>29</v>
      </c>
      <c r="Q17" s="4">
        <f t="shared" ca="1" si="0"/>
        <v>2531.7115053240705</v>
      </c>
    </row>
    <row r="18" spans="1:17" x14ac:dyDescent="0.3">
      <c r="A18" t="s">
        <v>203</v>
      </c>
      <c r="B18" s="1">
        <v>44883</v>
      </c>
      <c r="C18" s="6" t="s">
        <v>204</v>
      </c>
      <c r="D18" s="6" t="s">
        <v>201</v>
      </c>
      <c r="E18" s="6" t="s">
        <v>202</v>
      </c>
      <c r="F18" s="6" t="s">
        <v>205</v>
      </c>
      <c r="G18" s="4">
        <v>2</v>
      </c>
      <c r="H18" s="6" t="s">
        <v>191</v>
      </c>
      <c r="I18" s="1">
        <v>47802</v>
      </c>
      <c r="J18" s="8">
        <v>750</v>
      </c>
      <c r="K18" s="6" t="s">
        <v>206</v>
      </c>
      <c r="L18" s="6" t="s">
        <v>207</v>
      </c>
      <c r="M18" s="6" t="s">
        <v>39</v>
      </c>
      <c r="N18" s="6" t="s">
        <v>40</v>
      </c>
      <c r="O18" s="4">
        <v>1</v>
      </c>
      <c r="P18" s="6" t="s">
        <v>30</v>
      </c>
      <c r="Q18" s="4">
        <f t="shared" ca="1" si="0"/>
        <v>2893.7115053240705</v>
      </c>
    </row>
  </sheetData>
  <sortState xmlns:xlrd2="http://schemas.microsoft.com/office/spreadsheetml/2017/richdata2" ref="A2:AE18">
    <sortCondition ref="I2"/>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E879D-EB5F-499F-8849-39C1461613E9}">
  <sheetPr codeName="Sheet10"/>
  <dimension ref="A1:O17"/>
  <sheetViews>
    <sheetView workbookViewId="0">
      <selection activeCell="H2" sqref="H2:J17"/>
    </sheetView>
  </sheetViews>
  <sheetFormatPr defaultRowHeight="14.4" x14ac:dyDescent="0.3"/>
  <cols>
    <col min="1" max="1" width="13.33203125" style="6" bestFit="1" customWidth="1"/>
    <col min="2" max="2" width="16.44140625" bestFit="1" customWidth="1"/>
    <col min="3" max="3" width="11.109375" bestFit="1" customWidth="1"/>
    <col min="4" max="4" width="15.109375" bestFit="1" customWidth="1"/>
    <col min="5" max="5" width="9.77734375" bestFit="1" customWidth="1"/>
    <col min="6" max="6" width="16.88671875" bestFit="1" customWidth="1"/>
    <col min="7" max="7" width="11.77734375" bestFit="1" customWidth="1"/>
    <col min="8" max="8" width="15.109375" bestFit="1" customWidth="1"/>
    <col min="9" max="9" width="18.88671875" bestFit="1" customWidth="1"/>
    <col min="10" max="10" width="9.6640625" style="4" bestFit="1" customWidth="1"/>
    <col min="14" max="14" width="18.88671875" bestFit="1" customWidth="1"/>
  </cols>
  <sheetData>
    <row r="1" spans="1:15" x14ac:dyDescent="0.3">
      <c r="A1" s="5" t="s">
        <v>10</v>
      </c>
      <c r="B1" s="5" t="s">
        <v>11</v>
      </c>
      <c r="C1" s="5" t="s">
        <v>13</v>
      </c>
      <c r="D1" s="5" t="s">
        <v>14</v>
      </c>
      <c r="E1" s="3" t="s">
        <v>7</v>
      </c>
      <c r="F1" s="5" t="s">
        <v>47</v>
      </c>
      <c r="G1" s="9" t="s">
        <v>15</v>
      </c>
      <c r="H1" s="3" t="s">
        <v>27</v>
      </c>
      <c r="I1" s="5" t="s">
        <v>28</v>
      </c>
      <c r="J1" s="3" t="s">
        <v>75</v>
      </c>
      <c r="N1" s="5" t="s">
        <v>28</v>
      </c>
      <c r="O1" s="3" t="s">
        <v>75</v>
      </c>
    </row>
    <row r="2" spans="1:15" x14ac:dyDescent="0.3">
      <c r="A2" t="s">
        <v>161</v>
      </c>
      <c r="B2" s="6" t="s">
        <v>162</v>
      </c>
      <c r="C2" s="6" t="s">
        <v>159</v>
      </c>
      <c r="D2" s="6" t="s">
        <v>163</v>
      </c>
      <c r="E2" s="4">
        <v>18</v>
      </c>
      <c r="F2" s="6" t="s">
        <v>160</v>
      </c>
      <c r="G2" s="1">
        <v>44149</v>
      </c>
      <c r="H2" s="4">
        <v>1</v>
      </c>
      <c r="I2" s="6" t="s">
        <v>30</v>
      </c>
      <c r="J2" s="4">
        <v>-754.89404594907683</v>
      </c>
      <c r="O2" t="s">
        <v>150</v>
      </c>
    </row>
    <row r="3" spans="1:15" x14ac:dyDescent="0.3">
      <c r="A3" t="s">
        <v>125</v>
      </c>
      <c r="B3" s="6" t="s">
        <v>126</v>
      </c>
      <c r="C3" s="6" t="s">
        <v>45</v>
      </c>
      <c r="D3" s="6" t="s">
        <v>127</v>
      </c>
      <c r="E3" s="4">
        <v>12</v>
      </c>
      <c r="F3" s="6" t="s">
        <v>46</v>
      </c>
      <c r="G3" s="1">
        <v>44498</v>
      </c>
      <c r="H3" s="4">
        <v>2</v>
      </c>
      <c r="I3" s="6" t="s">
        <v>25</v>
      </c>
      <c r="J3" s="4">
        <v>-405.89404594907683</v>
      </c>
    </row>
    <row r="4" spans="1:15" x14ac:dyDescent="0.3">
      <c r="A4" t="s">
        <v>250</v>
      </c>
      <c r="B4" s="6" t="s">
        <v>251</v>
      </c>
      <c r="C4" s="6" t="s">
        <v>249</v>
      </c>
      <c r="D4" s="6" t="s">
        <v>252</v>
      </c>
      <c r="E4" s="4">
        <v>15</v>
      </c>
      <c r="F4" s="6" t="s">
        <v>43</v>
      </c>
      <c r="G4" s="1">
        <v>44911</v>
      </c>
      <c r="H4" s="4">
        <v>1</v>
      </c>
      <c r="I4" s="6" t="s">
        <v>29</v>
      </c>
      <c r="J4" s="4">
        <v>7.1059540509231738</v>
      </c>
    </row>
    <row r="5" spans="1:15" x14ac:dyDescent="0.3">
      <c r="A5" t="s">
        <v>269</v>
      </c>
      <c r="B5" s="6" t="s">
        <v>270</v>
      </c>
      <c r="C5" s="6" t="s">
        <v>190</v>
      </c>
      <c r="D5" s="6"/>
      <c r="E5" s="4">
        <v>5</v>
      </c>
      <c r="F5" s="6" t="s">
        <v>191</v>
      </c>
      <c r="G5" s="1">
        <v>44916</v>
      </c>
      <c r="H5" s="4">
        <v>10</v>
      </c>
      <c r="I5" s="6" t="s">
        <v>29</v>
      </c>
      <c r="J5" s="4">
        <v>12.105954050923174</v>
      </c>
    </row>
    <row r="6" spans="1:15" x14ac:dyDescent="0.3">
      <c r="A6" t="s">
        <v>273</v>
      </c>
      <c r="B6" s="6" t="s">
        <v>274</v>
      </c>
      <c r="C6" s="6" t="s">
        <v>136</v>
      </c>
      <c r="D6" s="6"/>
      <c r="E6" s="4">
        <v>12</v>
      </c>
      <c r="F6" s="6" t="s">
        <v>138</v>
      </c>
      <c r="G6" s="1">
        <v>44926</v>
      </c>
      <c r="H6" s="4">
        <v>2</v>
      </c>
      <c r="I6" s="6" t="s">
        <v>29</v>
      </c>
      <c r="J6" s="4">
        <v>22.105954050923174</v>
      </c>
    </row>
    <row r="7" spans="1:15" x14ac:dyDescent="0.3">
      <c r="A7" t="s">
        <v>119</v>
      </c>
      <c r="B7" s="6" t="s">
        <v>120</v>
      </c>
      <c r="C7" s="6" t="s">
        <v>41</v>
      </c>
      <c r="D7" s="6" t="s">
        <v>121</v>
      </c>
      <c r="E7" s="4">
        <v>2</v>
      </c>
      <c r="F7" s="6" t="s">
        <v>43</v>
      </c>
      <c r="G7" s="1">
        <v>45228</v>
      </c>
      <c r="H7" s="4">
        <v>4</v>
      </c>
      <c r="I7" s="6" t="s">
        <v>25</v>
      </c>
      <c r="J7" s="4">
        <v>324.10595405092317</v>
      </c>
    </row>
    <row r="8" spans="1:15" x14ac:dyDescent="0.3">
      <c r="A8" t="s">
        <v>153</v>
      </c>
      <c r="B8" s="6" t="s">
        <v>120</v>
      </c>
      <c r="C8" s="6" t="s">
        <v>41</v>
      </c>
      <c r="D8" s="6" t="s">
        <v>121</v>
      </c>
      <c r="E8" s="4">
        <v>3</v>
      </c>
      <c r="F8" s="6" t="s">
        <v>43</v>
      </c>
      <c r="G8" s="1">
        <v>45228</v>
      </c>
      <c r="H8" s="4">
        <v>4</v>
      </c>
      <c r="I8" s="6" t="s">
        <v>25</v>
      </c>
      <c r="J8" s="4">
        <v>324.10595405092317</v>
      </c>
    </row>
    <row r="9" spans="1:15" x14ac:dyDescent="0.3">
      <c r="A9" t="s">
        <v>259</v>
      </c>
      <c r="B9" s="6" t="s">
        <v>260</v>
      </c>
      <c r="C9" s="6" t="s">
        <v>258</v>
      </c>
      <c r="D9" s="6"/>
      <c r="E9" s="4">
        <v>36</v>
      </c>
      <c r="F9" s="6" t="s">
        <v>191</v>
      </c>
      <c r="G9" s="1">
        <v>45263</v>
      </c>
      <c r="H9" s="4">
        <v>12</v>
      </c>
      <c r="I9" s="6" t="s">
        <v>25</v>
      </c>
      <c r="J9" s="4">
        <v>359.10595405092317</v>
      </c>
    </row>
    <row r="10" spans="1:15" x14ac:dyDescent="0.3">
      <c r="A10" t="s">
        <v>56</v>
      </c>
      <c r="B10" s="6" t="s">
        <v>105</v>
      </c>
      <c r="C10" s="6" t="s">
        <v>45</v>
      </c>
      <c r="D10" s="6"/>
      <c r="E10" s="4">
        <v>13</v>
      </c>
      <c r="F10" s="6" t="s">
        <v>46</v>
      </c>
      <c r="G10" s="1">
        <v>45594</v>
      </c>
      <c r="H10" s="4">
        <v>2</v>
      </c>
      <c r="I10" s="6" t="s">
        <v>25</v>
      </c>
      <c r="J10" s="4">
        <v>690.10595405092317</v>
      </c>
    </row>
    <row r="11" spans="1:15" x14ac:dyDescent="0.3">
      <c r="A11" t="s">
        <v>49</v>
      </c>
      <c r="B11" s="6" t="s">
        <v>88</v>
      </c>
      <c r="C11" s="6" t="s">
        <v>45</v>
      </c>
      <c r="D11" s="6" t="s">
        <v>92</v>
      </c>
      <c r="E11" s="4">
        <v>23</v>
      </c>
      <c r="F11" s="6" t="s">
        <v>46</v>
      </c>
      <c r="G11" s="1">
        <v>45959</v>
      </c>
      <c r="H11" s="4">
        <v>2</v>
      </c>
      <c r="I11" s="6" t="s">
        <v>25</v>
      </c>
      <c r="J11" s="4">
        <v>1055.1059540509232</v>
      </c>
    </row>
    <row r="12" spans="1:15" x14ac:dyDescent="0.3">
      <c r="A12" t="s">
        <v>58</v>
      </c>
      <c r="B12" s="6" t="s">
        <v>108</v>
      </c>
      <c r="C12" s="6" t="s">
        <v>45</v>
      </c>
      <c r="D12" s="6" t="s">
        <v>109</v>
      </c>
      <c r="E12" s="4">
        <v>54</v>
      </c>
      <c r="F12" s="6" t="s">
        <v>46</v>
      </c>
      <c r="G12" s="1">
        <v>46689</v>
      </c>
      <c r="H12" s="4">
        <v>2</v>
      </c>
      <c r="I12" s="6" t="s">
        <v>25</v>
      </c>
      <c r="J12" s="4">
        <v>1785.1059540509232</v>
      </c>
    </row>
    <row r="13" spans="1:15" x14ac:dyDescent="0.3">
      <c r="A13" t="s">
        <v>114</v>
      </c>
      <c r="B13" s="6" t="s">
        <v>115</v>
      </c>
      <c r="C13" s="6" t="s">
        <v>24</v>
      </c>
      <c r="D13" s="6" t="s">
        <v>116</v>
      </c>
      <c r="E13" s="4">
        <v>17</v>
      </c>
      <c r="F13" s="6" t="s">
        <v>43</v>
      </c>
      <c r="G13" s="1">
        <v>46689</v>
      </c>
      <c r="H13" s="4">
        <v>2</v>
      </c>
      <c r="I13" s="6" t="s">
        <v>25</v>
      </c>
      <c r="J13" s="4">
        <v>1785.1059540509232</v>
      </c>
    </row>
    <row r="14" spans="1:15" x14ac:dyDescent="0.3">
      <c r="A14" t="s">
        <v>192</v>
      </c>
      <c r="B14" s="6" t="s">
        <v>193</v>
      </c>
      <c r="C14" s="6" t="s">
        <v>190</v>
      </c>
      <c r="D14" s="6" t="s">
        <v>194</v>
      </c>
      <c r="E14" s="4">
        <v>40</v>
      </c>
      <c r="F14" s="6" t="s">
        <v>191</v>
      </c>
      <c r="G14" s="1">
        <v>47440</v>
      </c>
      <c r="H14" s="4">
        <v>10</v>
      </c>
      <c r="I14" s="6" t="s">
        <v>29</v>
      </c>
      <c r="J14" s="4">
        <v>2536.1059540509232</v>
      </c>
    </row>
    <row r="15" spans="1:15" x14ac:dyDescent="0.3">
      <c r="A15" t="s">
        <v>203</v>
      </c>
      <c r="B15" s="6" t="s">
        <v>204</v>
      </c>
      <c r="C15" s="6" t="s">
        <v>202</v>
      </c>
      <c r="D15" s="6" t="s">
        <v>205</v>
      </c>
      <c r="E15" s="4">
        <v>2</v>
      </c>
      <c r="F15" s="6" t="s">
        <v>191</v>
      </c>
      <c r="G15" s="1">
        <v>47802</v>
      </c>
      <c r="H15" s="4">
        <v>1</v>
      </c>
      <c r="I15" s="6" t="s">
        <v>30</v>
      </c>
      <c r="J15" s="4">
        <v>2898.1059540509232</v>
      </c>
    </row>
    <row r="16" spans="1:15" x14ac:dyDescent="0.3">
      <c r="A16" t="s">
        <v>293</v>
      </c>
      <c r="B16" s="6" t="s">
        <v>294</v>
      </c>
      <c r="C16" s="6" t="s">
        <v>292</v>
      </c>
      <c r="D16" s="6"/>
      <c r="E16" s="4">
        <v>3</v>
      </c>
      <c r="F16" s="6" t="s">
        <v>191</v>
      </c>
      <c r="G16" s="1">
        <v>45632</v>
      </c>
      <c r="H16" s="4">
        <v>2</v>
      </c>
      <c r="I16" s="6" t="s">
        <v>29</v>
      </c>
      <c r="J16" s="4">
        <v>728.10595405092317</v>
      </c>
    </row>
    <row r="17" spans="1:9" x14ac:dyDescent="0.3">
      <c r="A17"/>
      <c r="B17" s="6"/>
      <c r="C17" s="6"/>
      <c r="D17" s="6"/>
      <c r="E17" s="4"/>
      <c r="F17" s="6"/>
      <c r="G17" s="1"/>
      <c r="H17" s="4"/>
      <c r="I17"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C7291-87C4-467F-844F-90931E373E57}">
  <sheetPr codeName="Sheet12"/>
  <dimension ref="A1:J9"/>
  <sheetViews>
    <sheetView workbookViewId="0">
      <selection activeCell="H12" sqref="H12"/>
    </sheetView>
  </sheetViews>
  <sheetFormatPr defaultRowHeight="14.4" x14ac:dyDescent="0.3"/>
  <cols>
    <col min="1" max="1" width="13.33203125" bestFit="1" customWidth="1"/>
    <col min="2" max="2" width="16.44140625" bestFit="1" customWidth="1"/>
    <col min="3" max="3" width="12.77734375" bestFit="1" customWidth="1"/>
    <col min="4" max="4" width="15.109375" bestFit="1" customWidth="1"/>
    <col min="5" max="5" width="9.77734375" bestFit="1" customWidth="1"/>
    <col min="6" max="6" width="16.88671875" bestFit="1" customWidth="1"/>
    <col min="7" max="7" width="11.77734375" bestFit="1" customWidth="1"/>
    <col min="8" max="8" width="15.109375" bestFit="1" customWidth="1"/>
    <col min="10" max="10" width="9.6640625" bestFit="1" customWidth="1"/>
  </cols>
  <sheetData>
    <row r="1" spans="1:10" x14ac:dyDescent="0.3">
      <c r="A1" s="5" t="s">
        <v>10</v>
      </c>
      <c r="B1" s="5" t="s">
        <v>11</v>
      </c>
      <c r="C1" s="5" t="s">
        <v>13</v>
      </c>
      <c r="D1" s="5" t="s">
        <v>14</v>
      </c>
      <c r="E1" s="3" t="s">
        <v>7</v>
      </c>
      <c r="F1" s="5" t="s">
        <v>47</v>
      </c>
      <c r="G1" s="9" t="s">
        <v>15</v>
      </c>
      <c r="H1" s="3" t="s">
        <v>27</v>
      </c>
      <c r="I1" s="5" t="s">
        <v>28</v>
      </c>
      <c r="J1" s="3" t="s">
        <v>75</v>
      </c>
    </row>
    <row r="2" spans="1:10" x14ac:dyDescent="0.3">
      <c r="A2" t="s">
        <v>161</v>
      </c>
      <c r="B2" s="6" t="s">
        <v>162</v>
      </c>
      <c r="C2" s="6" t="s">
        <v>159</v>
      </c>
      <c r="D2" s="6" t="s">
        <v>163</v>
      </c>
      <c r="E2" s="4">
        <v>18</v>
      </c>
      <c r="F2" s="6" t="s">
        <v>160</v>
      </c>
      <c r="G2" s="1">
        <v>44149</v>
      </c>
      <c r="H2" s="4">
        <v>1</v>
      </c>
      <c r="I2" s="6" t="s">
        <v>30</v>
      </c>
      <c r="J2" s="4">
        <v>-754.89404594907683</v>
      </c>
    </row>
    <row r="3" spans="1:10" x14ac:dyDescent="0.3">
      <c r="A3" t="s">
        <v>125</v>
      </c>
      <c r="B3" s="6" t="s">
        <v>126</v>
      </c>
      <c r="C3" s="6" t="s">
        <v>45</v>
      </c>
      <c r="D3" s="6" t="s">
        <v>127</v>
      </c>
      <c r="E3" s="4">
        <v>12</v>
      </c>
      <c r="F3" s="6" t="s">
        <v>46</v>
      </c>
      <c r="G3" s="1">
        <v>44498</v>
      </c>
      <c r="H3" s="4">
        <v>2</v>
      </c>
      <c r="I3" s="6" t="s">
        <v>25</v>
      </c>
      <c r="J3" s="4">
        <v>-405.89404594907683</v>
      </c>
    </row>
    <row r="4" spans="1:10" x14ac:dyDescent="0.3">
      <c r="A4" t="s">
        <v>250</v>
      </c>
      <c r="B4" s="6" t="s">
        <v>251</v>
      </c>
      <c r="C4" s="6" t="s">
        <v>249</v>
      </c>
      <c r="D4" s="6" t="s">
        <v>252</v>
      </c>
      <c r="E4" s="4">
        <v>15</v>
      </c>
      <c r="F4" s="6" t="s">
        <v>43</v>
      </c>
      <c r="G4" s="1">
        <v>44911</v>
      </c>
      <c r="H4" s="4">
        <v>1</v>
      </c>
      <c r="I4" s="6" t="s">
        <v>29</v>
      </c>
      <c r="J4" s="4">
        <v>7.1059540509231738</v>
      </c>
    </row>
    <row r="5" spans="1:10" x14ac:dyDescent="0.3">
      <c r="A5" t="s">
        <v>269</v>
      </c>
      <c r="B5" s="6" t="s">
        <v>270</v>
      </c>
      <c r="C5" s="6" t="s">
        <v>190</v>
      </c>
      <c r="D5" s="6"/>
      <c r="E5" s="4">
        <v>5</v>
      </c>
      <c r="F5" s="6" t="s">
        <v>191</v>
      </c>
      <c r="G5" s="1">
        <v>44916</v>
      </c>
      <c r="H5" s="4">
        <v>10</v>
      </c>
      <c r="I5" s="6" t="s">
        <v>29</v>
      </c>
      <c r="J5" s="4">
        <v>12.105954050923174</v>
      </c>
    </row>
    <row r="6" spans="1:10" x14ac:dyDescent="0.3">
      <c r="A6" t="s">
        <v>273</v>
      </c>
      <c r="B6" s="6" t="s">
        <v>274</v>
      </c>
      <c r="C6" s="6" t="s">
        <v>136</v>
      </c>
      <c r="D6" s="6"/>
      <c r="E6" s="4">
        <v>12</v>
      </c>
      <c r="F6" s="6" t="s">
        <v>138</v>
      </c>
      <c r="G6" s="1">
        <v>44926</v>
      </c>
      <c r="H6" s="4">
        <v>2</v>
      </c>
      <c r="I6" s="6" t="s">
        <v>29</v>
      </c>
      <c r="J6" s="4">
        <v>22.105954050923174</v>
      </c>
    </row>
    <row r="7" spans="1:10" x14ac:dyDescent="0.3">
      <c r="B7" s="6"/>
      <c r="C7" s="6"/>
      <c r="D7" s="6"/>
      <c r="E7" s="4"/>
      <c r="F7" s="6"/>
      <c r="G7" s="1"/>
      <c r="H7" s="4"/>
      <c r="I7" s="6"/>
      <c r="J7" s="4"/>
    </row>
    <row r="8" spans="1:10" x14ac:dyDescent="0.3">
      <c r="B8" s="6"/>
      <c r="C8" s="6"/>
      <c r="D8" s="6"/>
      <c r="E8" s="4"/>
      <c r="F8" s="6"/>
      <c r="G8" s="1"/>
      <c r="H8" s="4"/>
      <c r="I8" s="6"/>
      <c r="J8" s="4"/>
    </row>
    <row r="9" spans="1:10" x14ac:dyDescent="0.3">
      <c r="B9" s="6"/>
      <c r="C9" s="6"/>
      <c r="D9" s="6"/>
      <c r="E9" s="4"/>
      <c r="F9" s="6"/>
      <c r="G9" s="1"/>
      <c r="H9" s="4"/>
      <c r="I9" s="6"/>
      <c r="J9"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DF1DD-4DE3-4743-B58F-0016F0A0982E}">
  <sheetPr codeName="Sheet5"/>
  <dimension ref="A1:U26"/>
  <sheetViews>
    <sheetView topLeftCell="I1" workbookViewId="0">
      <selection sqref="A1:U1"/>
    </sheetView>
  </sheetViews>
  <sheetFormatPr defaultRowHeight="14.4" x14ac:dyDescent="0.3"/>
  <cols>
    <col min="1" max="1" width="13.33203125" bestFit="1" customWidth="1"/>
    <col min="2" max="2" width="11.33203125" bestFit="1" customWidth="1"/>
    <col min="3" max="3" width="16.44140625" bestFit="1" customWidth="1"/>
    <col min="4" max="4" width="11.33203125" bestFit="1" customWidth="1"/>
    <col min="5" max="5" width="16.44140625" bestFit="1" customWidth="1"/>
    <col min="6" max="6" width="13.21875" bestFit="1" customWidth="1"/>
    <col min="7" max="7" width="12.77734375" bestFit="1" customWidth="1"/>
    <col min="8" max="8" width="16.88671875" bestFit="1" customWidth="1"/>
    <col min="9" max="9" width="11.77734375" bestFit="1" customWidth="1"/>
    <col min="10" max="10" width="10.109375" bestFit="1" customWidth="1"/>
    <col min="11" max="11" width="10.88671875" bestFit="1" customWidth="1"/>
    <col min="12" max="12" width="10.21875" bestFit="1" customWidth="1"/>
    <col min="13" max="13" width="12.77734375" bestFit="1" customWidth="1"/>
    <col min="14" max="14" width="8.44140625" bestFit="1" customWidth="1"/>
    <col min="15" max="15" width="15.109375" bestFit="1" customWidth="1"/>
    <col min="16" max="16" width="18.88671875" bestFit="1" customWidth="1"/>
    <col min="17" max="17" width="11.77734375" style="19" bestFit="1" customWidth="1"/>
    <col min="19" max="19" width="9.21875" bestFit="1" customWidth="1"/>
    <col min="20" max="20" width="12.21875" bestFit="1" customWidth="1"/>
    <col min="21" max="21" width="12.6640625" bestFit="1" customWidth="1"/>
  </cols>
  <sheetData>
    <row r="1" spans="1:21" x14ac:dyDescent="0.3">
      <c r="A1" s="2" t="s">
        <v>10</v>
      </c>
      <c r="B1" s="9" t="s">
        <v>9</v>
      </c>
      <c r="C1" s="5" t="s">
        <v>11</v>
      </c>
      <c r="D1" s="5" t="s">
        <v>12</v>
      </c>
      <c r="E1" s="5" t="s">
        <v>13</v>
      </c>
      <c r="F1" s="5" t="s">
        <v>14</v>
      </c>
      <c r="G1" s="3" t="s">
        <v>7</v>
      </c>
      <c r="H1" s="5" t="s">
        <v>47</v>
      </c>
      <c r="I1" s="9" t="s">
        <v>15</v>
      </c>
      <c r="J1" s="7" t="s">
        <v>16</v>
      </c>
      <c r="K1" s="5" t="s">
        <v>17</v>
      </c>
      <c r="L1" s="5" t="s">
        <v>18</v>
      </c>
      <c r="M1" s="5" t="s">
        <v>19</v>
      </c>
      <c r="N1" s="5" t="s">
        <v>20</v>
      </c>
      <c r="O1" s="3" t="s">
        <v>27</v>
      </c>
      <c r="P1" s="5" t="s">
        <v>28</v>
      </c>
      <c r="Q1" s="18" t="s">
        <v>157</v>
      </c>
      <c r="R1" s="5"/>
      <c r="S1" s="18"/>
      <c r="T1" s="9" t="s">
        <v>9</v>
      </c>
      <c r="U1" s="9" t="s">
        <v>9</v>
      </c>
    </row>
    <row r="2" spans="1:21" x14ac:dyDescent="0.3">
      <c r="A2" t="s">
        <v>48</v>
      </c>
      <c r="B2" s="1">
        <v>44862</v>
      </c>
      <c r="C2" s="6" t="s">
        <v>77</v>
      </c>
      <c r="D2" s="6" t="s">
        <v>8</v>
      </c>
      <c r="E2" s="6" t="s">
        <v>41</v>
      </c>
      <c r="F2" s="6" t="s">
        <v>78</v>
      </c>
      <c r="G2" s="4">
        <v>22</v>
      </c>
      <c r="H2" s="6" t="s">
        <v>43</v>
      </c>
      <c r="I2" s="1">
        <v>45227</v>
      </c>
      <c r="J2" s="8">
        <v>7000</v>
      </c>
      <c r="K2" s="6" t="s">
        <v>208</v>
      </c>
      <c r="L2" s="6" t="s">
        <v>209</v>
      </c>
      <c r="M2" s="6" t="s">
        <v>21</v>
      </c>
      <c r="N2" s="6" t="s">
        <v>22</v>
      </c>
      <c r="O2" s="4">
        <v>4</v>
      </c>
      <c r="P2" s="6" t="s">
        <v>25</v>
      </c>
      <c r="Q2" s="19">
        <f>(G2*J2)</f>
        <v>154000</v>
      </c>
      <c r="R2" s="6"/>
      <c r="S2" s="19"/>
      <c r="T2" t="s">
        <v>152</v>
      </c>
      <c r="U2" t="s">
        <v>151</v>
      </c>
    </row>
    <row r="3" spans="1:21" x14ac:dyDescent="0.3">
      <c r="A3" t="s">
        <v>49</v>
      </c>
      <c r="B3" s="1">
        <v>44863</v>
      </c>
      <c r="C3" s="6" t="s">
        <v>76</v>
      </c>
      <c r="D3" s="6" t="s">
        <v>8</v>
      </c>
      <c r="E3" s="6" t="s">
        <v>41</v>
      </c>
      <c r="F3" s="6" t="s">
        <v>210</v>
      </c>
      <c r="G3" s="4">
        <v>20</v>
      </c>
      <c r="H3" s="6" t="s">
        <v>43</v>
      </c>
      <c r="I3" s="1">
        <v>44868</v>
      </c>
      <c r="J3" s="8">
        <v>5600</v>
      </c>
      <c r="K3" s="6" t="s">
        <v>211</v>
      </c>
      <c r="L3" s="6" t="s">
        <v>212</v>
      </c>
      <c r="M3" s="6" t="s">
        <v>21</v>
      </c>
      <c r="N3" s="6" t="s">
        <v>22</v>
      </c>
      <c r="O3" s="4">
        <v>4</v>
      </c>
      <c r="P3" s="6" t="s">
        <v>25</v>
      </c>
      <c r="Q3" s="19">
        <f t="shared" ref="Q3:Q26" si="0">(G3*J3)</f>
        <v>112000</v>
      </c>
      <c r="R3" s="6"/>
      <c r="S3" s="19"/>
    </row>
    <row r="4" spans="1:21" x14ac:dyDescent="0.3">
      <c r="A4" t="s">
        <v>55</v>
      </c>
      <c r="B4" s="1">
        <v>44863</v>
      </c>
      <c r="C4" s="6" t="s">
        <v>76</v>
      </c>
      <c r="D4" s="6" t="s">
        <v>44</v>
      </c>
      <c r="E4" s="6" t="s">
        <v>45</v>
      </c>
      <c r="F4" s="6" t="s">
        <v>82</v>
      </c>
      <c r="G4" s="4">
        <v>1</v>
      </c>
      <c r="H4" s="6" t="s">
        <v>46</v>
      </c>
      <c r="I4" s="1">
        <v>44926</v>
      </c>
      <c r="J4" s="8">
        <v>5000</v>
      </c>
      <c r="K4" s="6" t="s">
        <v>213</v>
      </c>
      <c r="L4" s="6" t="s">
        <v>214</v>
      </c>
      <c r="M4" s="6" t="s">
        <v>21</v>
      </c>
      <c r="N4" s="6" t="s">
        <v>22</v>
      </c>
      <c r="O4" s="4">
        <v>2</v>
      </c>
      <c r="P4" s="6" t="s">
        <v>25</v>
      </c>
      <c r="Q4" s="19">
        <f t="shared" si="0"/>
        <v>5000</v>
      </c>
      <c r="R4" s="6"/>
      <c r="S4" s="19"/>
    </row>
    <row r="5" spans="1:21" x14ac:dyDescent="0.3">
      <c r="A5" t="s">
        <v>56</v>
      </c>
      <c r="B5" s="1">
        <v>44863</v>
      </c>
      <c r="C5" s="6" t="s">
        <v>83</v>
      </c>
      <c r="D5" s="6" t="s">
        <v>44</v>
      </c>
      <c r="E5" s="6" t="s">
        <v>45</v>
      </c>
      <c r="F5" s="6" t="s">
        <v>84</v>
      </c>
      <c r="G5" s="4">
        <v>6</v>
      </c>
      <c r="H5" s="6" t="s">
        <v>46</v>
      </c>
      <c r="I5" s="1">
        <v>45228</v>
      </c>
      <c r="J5" s="8">
        <v>500</v>
      </c>
      <c r="K5" s="6" t="s">
        <v>215</v>
      </c>
      <c r="L5" s="6" t="s">
        <v>216</v>
      </c>
      <c r="M5" s="6" t="s">
        <v>21</v>
      </c>
      <c r="N5" s="6" t="s">
        <v>22</v>
      </c>
      <c r="O5" s="4">
        <v>2</v>
      </c>
      <c r="P5" s="6" t="s">
        <v>25</v>
      </c>
      <c r="Q5" s="19">
        <f t="shared" si="0"/>
        <v>3000</v>
      </c>
      <c r="R5" s="6"/>
      <c r="S5" s="19"/>
    </row>
    <row r="6" spans="1:21" x14ac:dyDescent="0.3">
      <c r="A6" t="s">
        <v>58</v>
      </c>
      <c r="B6" s="1">
        <v>44863</v>
      </c>
      <c r="C6" s="6" t="s">
        <v>57</v>
      </c>
      <c r="D6" s="6" t="s">
        <v>44</v>
      </c>
      <c r="E6" s="6" t="s">
        <v>45</v>
      </c>
      <c r="F6" s="6" t="s">
        <v>85</v>
      </c>
      <c r="G6" s="4">
        <v>7</v>
      </c>
      <c r="H6" s="6" t="s">
        <v>46</v>
      </c>
      <c r="I6" s="1">
        <v>45594</v>
      </c>
      <c r="J6" s="8">
        <v>3500</v>
      </c>
      <c r="K6" s="6" t="s">
        <v>217</v>
      </c>
      <c r="L6" s="6" t="s">
        <v>218</v>
      </c>
      <c r="M6" s="6" t="s">
        <v>21</v>
      </c>
      <c r="N6" s="6" t="s">
        <v>22</v>
      </c>
      <c r="O6" s="4">
        <v>2</v>
      </c>
      <c r="P6" s="6" t="s">
        <v>25</v>
      </c>
      <c r="Q6" s="19">
        <f t="shared" si="0"/>
        <v>24500</v>
      </c>
      <c r="R6" s="6"/>
      <c r="S6" s="19"/>
    </row>
    <row r="7" spans="1:21" x14ac:dyDescent="0.3">
      <c r="A7" t="s">
        <v>48</v>
      </c>
      <c r="B7" s="1">
        <v>44863</v>
      </c>
      <c r="C7" s="6" t="s">
        <v>88</v>
      </c>
      <c r="D7" s="6" t="s">
        <v>3</v>
      </c>
      <c r="E7" s="6" t="s">
        <v>24</v>
      </c>
      <c r="F7" s="6" t="s">
        <v>89</v>
      </c>
      <c r="G7" s="4">
        <v>10</v>
      </c>
      <c r="H7" s="6" t="s">
        <v>43</v>
      </c>
      <c r="I7" s="1">
        <v>45959</v>
      </c>
      <c r="J7" s="8">
        <v>7000</v>
      </c>
      <c r="K7" s="6" t="s">
        <v>90</v>
      </c>
      <c r="L7" s="6" t="s">
        <v>91</v>
      </c>
      <c r="M7" s="6" t="s">
        <v>1</v>
      </c>
      <c r="N7" s="6" t="s">
        <v>2</v>
      </c>
      <c r="O7" s="4">
        <v>2</v>
      </c>
      <c r="P7" s="6" t="s">
        <v>25</v>
      </c>
      <c r="Q7" s="19">
        <f t="shared" si="0"/>
        <v>70000</v>
      </c>
      <c r="R7" s="6"/>
      <c r="S7" s="19"/>
    </row>
    <row r="8" spans="1:21" x14ac:dyDescent="0.3">
      <c r="A8" t="s">
        <v>49</v>
      </c>
      <c r="B8" s="1">
        <v>44863</v>
      </c>
      <c r="C8" s="6" t="s">
        <v>88</v>
      </c>
      <c r="D8" s="6" t="s">
        <v>44</v>
      </c>
      <c r="E8" s="6" t="s">
        <v>45</v>
      </c>
      <c r="F8" s="6" t="s">
        <v>92</v>
      </c>
      <c r="G8" s="4">
        <v>23</v>
      </c>
      <c r="H8" s="6" t="s">
        <v>46</v>
      </c>
      <c r="I8" s="1">
        <v>45959</v>
      </c>
      <c r="J8" s="8">
        <v>5600</v>
      </c>
      <c r="K8" s="6" t="s">
        <v>93</v>
      </c>
      <c r="L8" s="6" t="s">
        <v>94</v>
      </c>
      <c r="M8" s="6" t="s">
        <v>21</v>
      </c>
      <c r="N8" s="6" t="s">
        <v>22</v>
      </c>
      <c r="O8" s="4">
        <v>2</v>
      </c>
      <c r="P8" s="6" t="s">
        <v>25</v>
      </c>
      <c r="Q8" s="19">
        <f t="shared" si="0"/>
        <v>128800</v>
      </c>
      <c r="R8" s="6"/>
      <c r="S8" s="19"/>
    </row>
    <row r="9" spans="1:21" x14ac:dyDescent="0.3">
      <c r="A9" t="s">
        <v>55</v>
      </c>
      <c r="B9" s="1">
        <v>44863</v>
      </c>
      <c r="C9" s="6" t="s">
        <v>95</v>
      </c>
      <c r="D9" s="6" t="s">
        <v>3</v>
      </c>
      <c r="E9" s="6" t="s">
        <v>24</v>
      </c>
      <c r="F9" s="6" t="s">
        <v>96</v>
      </c>
      <c r="G9" s="4">
        <v>6</v>
      </c>
      <c r="H9" s="6" t="s">
        <v>43</v>
      </c>
      <c r="I9" s="1">
        <v>45594</v>
      </c>
      <c r="J9" s="8"/>
      <c r="K9" s="6" t="s">
        <v>219</v>
      </c>
      <c r="L9" s="6" t="s">
        <v>220</v>
      </c>
      <c r="M9" s="6" t="s">
        <v>1</v>
      </c>
      <c r="N9" s="6" t="s">
        <v>2</v>
      </c>
      <c r="O9" s="4">
        <v>2</v>
      </c>
      <c r="P9" s="6" t="s">
        <v>25</v>
      </c>
      <c r="Q9" s="19">
        <f t="shared" si="0"/>
        <v>0</v>
      </c>
      <c r="R9" s="6"/>
      <c r="S9" s="19"/>
    </row>
    <row r="10" spans="1:21" x14ac:dyDescent="0.3">
      <c r="A10" t="s">
        <v>56</v>
      </c>
      <c r="B10" s="1">
        <v>44863</v>
      </c>
      <c r="C10" s="6" t="s">
        <v>105</v>
      </c>
      <c r="D10" s="6" t="s">
        <v>44</v>
      </c>
      <c r="E10" s="6" t="s">
        <v>45</v>
      </c>
      <c r="F10" s="6"/>
      <c r="G10" s="4">
        <v>13</v>
      </c>
      <c r="H10" s="6" t="s">
        <v>46</v>
      </c>
      <c r="I10" s="1">
        <v>45594</v>
      </c>
      <c r="J10" s="8">
        <v>500</v>
      </c>
      <c r="K10" s="6" t="s">
        <v>106</v>
      </c>
      <c r="L10" s="6" t="s">
        <v>107</v>
      </c>
      <c r="M10" s="6" t="s">
        <v>21</v>
      </c>
      <c r="N10" s="6" t="s">
        <v>22</v>
      </c>
      <c r="O10" s="4">
        <v>2</v>
      </c>
      <c r="P10" s="6" t="s">
        <v>25</v>
      </c>
      <c r="Q10" s="19">
        <f t="shared" si="0"/>
        <v>6500</v>
      </c>
      <c r="R10" s="6"/>
      <c r="S10" s="19"/>
    </row>
    <row r="11" spans="1:21" x14ac:dyDescent="0.3">
      <c r="A11" t="s">
        <v>58</v>
      </c>
      <c r="B11" s="1">
        <v>44863</v>
      </c>
      <c r="C11" s="6" t="s">
        <v>108</v>
      </c>
      <c r="D11" s="6" t="s">
        <v>44</v>
      </c>
      <c r="E11" s="6" t="s">
        <v>45</v>
      </c>
      <c r="F11" s="6" t="s">
        <v>109</v>
      </c>
      <c r="G11" s="4">
        <v>54</v>
      </c>
      <c r="H11" s="6" t="s">
        <v>46</v>
      </c>
      <c r="I11" s="1">
        <v>46689</v>
      </c>
      <c r="J11" s="8">
        <v>5678</v>
      </c>
      <c r="K11" s="6" t="s">
        <v>110</v>
      </c>
      <c r="L11" s="6" t="s">
        <v>111</v>
      </c>
      <c r="M11" s="6" t="s">
        <v>21</v>
      </c>
      <c r="N11" s="6" t="s">
        <v>22</v>
      </c>
      <c r="O11" s="4">
        <v>2</v>
      </c>
      <c r="P11" s="6" t="s">
        <v>25</v>
      </c>
      <c r="Q11" s="19">
        <f t="shared" si="0"/>
        <v>306612</v>
      </c>
      <c r="R11" s="6"/>
      <c r="S11" s="19"/>
    </row>
    <row r="12" spans="1:21" x14ac:dyDescent="0.3">
      <c r="A12" t="s">
        <v>59</v>
      </c>
      <c r="B12" s="1">
        <v>44863</v>
      </c>
      <c r="C12" s="6" t="s">
        <v>112</v>
      </c>
      <c r="D12" s="6" t="s">
        <v>3</v>
      </c>
      <c r="E12" s="6" t="s">
        <v>24</v>
      </c>
      <c r="F12" s="6" t="s">
        <v>113</v>
      </c>
      <c r="G12" s="4">
        <v>10</v>
      </c>
      <c r="H12" s="6" t="s">
        <v>43</v>
      </c>
      <c r="I12" s="1">
        <v>45594</v>
      </c>
      <c r="J12" s="8">
        <v>6767</v>
      </c>
      <c r="K12" s="6" t="s">
        <v>221</v>
      </c>
      <c r="L12" s="6" t="s">
        <v>222</v>
      </c>
      <c r="M12" s="6" t="s">
        <v>1</v>
      </c>
      <c r="N12" s="6" t="s">
        <v>2</v>
      </c>
      <c r="O12" s="4">
        <v>2</v>
      </c>
      <c r="P12" s="6" t="s">
        <v>25</v>
      </c>
      <c r="Q12" s="19">
        <f t="shared" si="0"/>
        <v>67670</v>
      </c>
      <c r="R12" s="6"/>
      <c r="S12" s="19"/>
    </row>
    <row r="13" spans="1:21" x14ac:dyDescent="0.3">
      <c r="A13" t="s">
        <v>114</v>
      </c>
      <c r="B13" s="1">
        <v>44863</v>
      </c>
      <c r="C13" s="6" t="s">
        <v>115</v>
      </c>
      <c r="D13" s="6" t="s">
        <v>3</v>
      </c>
      <c r="E13" s="6" t="s">
        <v>24</v>
      </c>
      <c r="F13" s="6" t="s">
        <v>116</v>
      </c>
      <c r="G13" s="4">
        <v>22</v>
      </c>
      <c r="H13" s="6" t="s">
        <v>43</v>
      </c>
      <c r="I13" s="1">
        <v>46689</v>
      </c>
      <c r="J13" s="8">
        <v>5600</v>
      </c>
      <c r="K13" s="6" t="s">
        <v>117</v>
      </c>
      <c r="L13" s="6" t="s">
        <v>118</v>
      </c>
      <c r="M13" s="6" t="s">
        <v>1</v>
      </c>
      <c r="N13" s="6" t="s">
        <v>2</v>
      </c>
      <c r="O13" s="4">
        <v>2</v>
      </c>
      <c r="P13" s="6" t="s">
        <v>25</v>
      </c>
      <c r="Q13" s="19">
        <f t="shared" si="0"/>
        <v>123200</v>
      </c>
      <c r="R13" s="6"/>
      <c r="S13" s="19"/>
    </row>
    <row r="14" spans="1:21" x14ac:dyDescent="0.3">
      <c r="A14" t="s">
        <v>119</v>
      </c>
      <c r="B14" s="1">
        <v>44863</v>
      </c>
      <c r="C14" s="6" t="s">
        <v>120</v>
      </c>
      <c r="D14" s="6" t="s">
        <v>8</v>
      </c>
      <c r="E14" s="6" t="s">
        <v>41</v>
      </c>
      <c r="F14" s="6" t="s">
        <v>121</v>
      </c>
      <c r="G14" s="4">
        <v>3</v>
      </c>
      <c r="H14" s="6" t="s">
        <v>43</v>
      </c>
      <c r="I14" s="1">
        <v>45228</v>
      </c>
      <c r="J14" s="8">
        <v>56789</v>
      </c>
      <c r="K14" s="6" t="s">
        <v>122</v>
      </c>
      <c r="L14" s="6" t="s">
        <v>123</v>
      </c>
      <c r="M14" s="6" t="s">
        <v>21</v>
      </c>
      <c r="N14" s="6" t="s">
        <v>22</v>
      </c>
      <c r="O14" s="4">
        <v>4</v>
      </c>
      <c r="P14" s="6" t="s">
        <v>25</v>
      </c>
      <c r="Q14" s="19">
        <f t="shared" si="0"/>
        <v>170367</v>
      </c>
      <c r="R14" s="6"/>
      <c r="S14" s="19"/>
    </row>
    <row r="15" spans="1:21" x14ac:dyDescent="0.3">
      <c r="A15" t="s">
        <v>125</v>
      </c>
      <c r="B15" s="1">
        <v>44863</v>
      </c>
      <c r="C15" s="6" t="s">
        <v>126</v>
      </c>
      <c r="D15" s="6" t="s">
        <v>44</v>
      </c>
      <c r="E15" s="6" t="s">
        <v>45</v>
      </c>
      <c r="F15" s="6" t="s">
        <v>127</v>
      </c>
      <c r="G15" s="4">
        <v>12</v>
      </c>
      <c r="H15" s="6" t="s">
        <v>46</v>
      </c>
      <c r="I15" s="1">
        <v>45228</v>
      </c>
      <c r="J15" s="8">
        <v>3422</v>
      </c>
      <c r="K15" s="6" t="s">
        <v>128</v>
      </c>
      <c r="L15" s="6" t="s">
        <v>129</v>
      </c>
      <c r="M15" s="6" t="s">
        <v>21</v>
      </c>
      <c r="N15" s="6" t="s">
        <v>22</v>
      </c>
      <c r="O15" s="4">
        <v>2</v>
      </c>
      <c r="P15" s="6" t="s">
        <v>25</v>
      </c>
      <c r="Q15" s="19">
        <f t="shared" si="0"/>
        <v>41064</v>
      </c>
      <c r="R15" s="6"/>
      <c r="S15" s="19"/>
    </row>
    <row r="16" spans="1:21" x14ac:dyDescent="0.3">
      <c r="A16" t="s">
        <v>153</v>
      </c>
      <c r="B16" s="1">
        <v>44869</v>
      </c>
      <c r="C16" s="6" t="s">
        <v>120</v>
      </c>
      <c r="D16" s="6" t="s">
        <v>8</v>
      </c>
      <c r="E16" s="6" t="s">
        <v>41</v>
      </c>
      <c r="F16" s="6" t="s">
        <v>121</v>
      </c>
      <c r="G16" s="4">
        <v>3</v>
      </c>
      <c r="H16" s="6" t="s">
        <v>43</v>
      </c>
      <c r="I16" s="1">
        <v>45228</v>
      </c>
      <c r="J16" s="8">
        <v>56789</v>
      </c>
      <c r="K16" s="6" t="s">
        <v>122</v>
      </c>
      <c r="L16" s="6" t="s">
        <v>123</v>
      </c>
      <c r="M16" s="6" t="s">
        <v>21</v>
      </c>
      <c r="N16" s="6" t="s">
        <v>22</v>
      </c>
      <c r="O16" s="4">
        <v>4</v>
      </c>
      <c r="P16" s="6" t="s">
        <v>25</v>
      </c>
      <c r="Q16" s="19">
        <f t="shared" si="0"/>
        <v>170367</v>
      </c>
      <c r="R16" s="6"/>
      <c r="S16" s="19"/>
    </row>
    <row r="17" spans="1:19" x14ac:dyDescent="0.3">
      <c r="A17" t="s">
        <v>161</v>
      </c>
      <c r="B17" s="1">
        <v>44879</v>
      </c>
      <c r="C17" s="6" t="s">
        <v>162</v>
      </c>
      <c r="D17" s="6" t="s">
        <v>158</v>
      </c>
      <c r="E17" s="6" t="s">
        <v>159</v>
      </c>
      <c r="F17" s="6" t="s">
        <v>163</v>
      </c>
      <c r="G17" s="4">
        <v>18</v>
      </c>
      <c r="H17" s="6" t="s">
        <v>160</v>
      </c>
      <c r="I17" s="1">
        <v>45244</v>
      </c>
      <c r="J17" s="8"/>
      <c r="K17" s="6" t="s">
        <v>164</v>
      </c>
      <c r="L17" s="6" t="s">
        <v>165</v>
      </c>
      <c r="M17" s="6" t="s">
        <v>32</v>
      </c>
      <c r="N17" s="6" t="s">
        <v>34</v>
      </c>
      <c r="O17" s="4">
        <v>1</v>
      </c>
      <c r="P17" s="6" t="s">
        <v>30</v>
      </c>
      <c r="Q17" s="19">
        <f t="shared" si="0"/>
        <v>0</v>
      </c>
      <c r="R17" s="6"/>
      <c r="S17" s="19"/>
    </row>
    <row r="18" spans="1:19" x14ac:dyDescent="0.3">
      <c r="A18" t="s">
        <v>250</v>
      </c>
      <c r="B18" s="1">
        <v>44892</v>
      </c>
      <c r="C18" s="6" t="s">
        <v>251</v>
      </c>
      <c r="D18" s="6" t="s">
        <v>248</v>
      </c>
      <c r="E18" s="6" t="s">
        <v>249</v>
      </c>
      <c r="F18" s="6" t="s">
        <v>252</v>
      </c>
      <c r="G18" s="4">
        <v>15</v>
      </c>
      <c r="H18" s="6" t="s">
        <v>43</v>
      </c>
      <c r="I18" s="1">
        <v>44911</v>
      </c>
      <c r="J18" s="8">
        <v>2000</v>
      </c>
      <c r="K18" s="6" t="s">
        <v>253</v>
      </c>
      <c r="L18" s="6" t="s">
        <v>254</v>
      </c>
      <c r="M18" s="6" t="s">
        <v>21</v>
      </c>
      <c r="N18" s="6" t="s">
        <v>35</v>
      </c>
      <c r="O18" s="4">
        <v>1</v>
      </c>
      <c r="P18" s="6" t="s">
        <v>29</v>
      </c>
      <c r="Q18" s="19">
        <f t="shared" si="0"/>
        <v>30000</v>
      </c>
    </row>
    <row r="19" spans="1:19" x14ac:dyDescent="0.3">
      <c r="A19" t="s">
        <v>259</v>
      </c>
      <c r="B19" s="1">
        <v>44898</v>
      </c>
      <c r="C19" s="6" t="s">
        <v>260</v>
      </c>
      <c r="D19" s="6" t="s">
        <v>257</v>
      </c>
      <c r="E19" s="6" t="s">
        <v>258</v>
      </c>
      <c r="F19" s="6"/>
      <c r="G19" s="4">
        <v>48</v>
      </c>
      <c r="H19" s="6" t="s">
        <v>191</v>
      </c>
      <c r="I19" s="1">
        <v>45263</v>
      </c>
      <c r="J19" s="8">
        <v>200</v>
      </c>
      <c r="K19" s="6" t="s">
        <v>261</v>
      </c>
      <c r="L19" s="6" t="s">
        <v>262</v>
      </c>
      <c r="M19" s="6" t="s">
        <v>39</v>
      </c>
      <c r="N19" s="6" t="s">
        <v>40</v>
      </c>
      <c r="O19" s="4">
        <v>12</v>
      </c>
      <c r="P19" s="6" t="s">
        <v>25</v>
      </c>
      <c r="Q19" s="19">
        <f t="shared" si="0"/>
        <v>9600</v>
      </c>
    </row>
    <row r="20" spans="1:19" x14ac:dyDescent="0.3">
      <c r="A20" t="s">
        <v>265</v>
      </c>
      <c r="B20" s="1">
        <v>44899</v>
      </c>
      <c r="C20" s="6" t="s">
        <v>266</v>
      </c>
      <c r="D20" s="6" t="s">
        <v>257</v>
      </c>
      <c r="E20" s="6" t="s">
        <v>258</v>
      </c>
      <c r="F20" s="6"/>
      <c r="G20" s="4">
        <v>6</v>
      </c>
      <c r="H20" s="6" t="s">
        <v>191</v>
      </c>
      <c r="I20" s="1">
        <v>44922</v>
      </c>
      <c r="J20" s="8">
        <v>600</v>
      </c>
      <c r="K20" s="6" t="s">
        <v>267</v>
      </c>
      <c r="L20" s="6" t="s">
        <v>268</v>
      </c>
      <c r="M20" s="6" t="s">
        <v>39</v>
      </c>
      <c r="N20" s="6" t="s">
        <v>40</v>
      </c>
      <c r="O20" s="4">
        <v>12</v>
      </c>
      <c r="P20" s="6" t="s">
        <v>25</v>
      </c>
      <c r="Q20" s="19">
        <f t="shared" si="0"/>
        <v>3600</v>
      </c>
    </row>
    <row r="21" spans="1:19" x14ac:dyDescent="0.3">
      <c r="A21" t="s">
        <v>269</v>
      </c>
      <c r="B21" s="1">
        <v>44899</v>
      </c>
      <c r="C21" s="6" t="s">
        <v>270</v>
      </c>
      <c r="D21" s="6" t="s">
        <v>189</v>
      </c>
      <c r="E21" s="6" t="s">
        <v>190</v>
      </c>
      <c r="F21" s="6"/>
      <c r="G21" s="4">
        <v>5</v>
      </c>
      <c r="H21" s="6" t="s">
        <v>191</v>
      </c>
      <c r="I21" s="1">
        <v>44916</v>
      </c>
      <c r="J21" s="8">
        <v>6000</v>
      </c>
      <c r="K21" s="6" t="s">
        <v>271</v>
      </c>
      <c r="L21" s="6" t="s">
        <v>272</v>
      </c>
      <c r="M21" s="6" t="s">
        <v>38</v>
      </c>
      <c r="N21" s="6" t="s">
        <v>40</v>
      </c>
      <c r="O21" s="4">
        <v>10</v>
      </c>
      <c r="P21" s="6" t="s">
        <v>29</v>
      </c>
      <c r="Q21" s="19">
        <f t="shared" si="0"/>
        <v>30000</v>
      </c>
    </row>
    <row r="22" spans="1:19" x14ac:dyDescent="0.3">
      <c r="A22" t="s">
        <v>273</v>
      </c>
      <c r="B22" s="1">
        <v>44899</v>
      </c>
      <c r="C22" s="6" t="s">
        <v>274</v>
      </c>
      <c r="D22" s="6" t="s">
        <v>135</v>
      </c>
      <c r="E22" s="6" t="s">
        <v>136</v>
      </c>
      <c r="F22" s="6"/>
      <c r="G22" s="4">
        <v>15</v>
      </c>
      <c r="H22" s="6" t="s">
        <v>138</v>
      </c>
      <c r="I22" s="1">
        <v>44926</v>
      </c>
      <c r="J22" s="8">
        <v>600</v>
      </c>
      <c r="K22" s="6" t="s">
        <v>275</v>
      </c>
      <c r="L22" s="6" t="s">
        <v>276</v>
      </c>
      <c r="M22" s="6" t="s">
        <v>31</v>
      </c>
      <c r="N22" s="6" t="s">
        <v>137</v>
      </c>
      <c r="O22" s="4">
        <v>2</v>
      </c>
      <c r="P22" s="6" t="s">
        <v>29</v>
      </c>
      <c r="Q22" s="19">
        <f t="shared" si="0"/>
        <v>9000</v>
      </c>
    </row>
    <row r="23" spans="1:19" x14ac:dyDescent="0.3">
      <c r="A23" t="s">
        <v>277</v>
      </c>
      <c r="B23" s="1">
        <v>44899</v>
      </c>
      <c r="C23" s="6" t="s">
        <v>278</v>
      </c>
      <c r="D23" s="6" t="s">
        <v>3</v>
      </c>
      <c r="E23" s="6" t="s">
        <v>24</v>
      </c>
      <c r="F23" s="6"/>
      <c r="G23" s="4">
        <v>2</v>
      </c>
      <c r="H23" s="6" t="s">
        <v>43</v>
      </c>
      <c r="I23" s="1">
        <v>44927</v>
      </c>
      <c r="J23" s="8">
        <v>4500</v>
      </c>
      <c r="K23" s="6" t="s">
        <v>279</v>
      </c>
      <c r="L23" s="6" t="s">
        <v>280</v>
      </c>
      <c r="M23" s="6" t="s">
        <v>1</v>
      </c>
      <c r="N23" s="6" t="s">
        <v>2</v>
      </c>
      <c r="O23" s="4">
        <v>2</v>
      </c>
      <c r="P23" s="6" t="s">
        <v>25</v>
      </c>
      <c r="Q23" s="19">
        <f t="shared" si="0"/>
        <v>9000</v>
      </c>
    </row>
    <row r="24" spans="1:19" x14ac:dyDescent="0.3">
      <c r="A24" t="s">
        <v>293</v>
      </c>
      <c r="B24" s="1">
        <v>44901</v>
      </c>
      <c r="C24" s="6" t="s">
        <v>294</v>
      </c>
      <c r="D24" s="6" t="s">
        <v>291</v>
      </c>
      <c r="E24" s="6" t="s">
        <v>292</v>
      </c>
      <c r="F24" s="6"/>
      <c r="G24" s="4">
        <v>3</v>
      </c>
      <c r="H24" s="6" t="s">
        <v>191</v>
      </c>
      <c r="I24" s="1">
        <v>45632</v>
      </c>
      <c r="J24" s="8">
        <v>500</v>
      </c>
      <c r="K24" s="6" t="s">
        <v>295</v>
      </c>
      <c r="L24" s="6" t="s">
        <v>296</v>
      </c>
      <c r="M24" s="6" t="s">
        <v>21</v>
      </c>
      <c r="N24" s="6" t="s">
        <v>40</v>
      </c>
      <c r="O24" s="4">
        <v>2</v>
      </c>
      <c r="P24" s="6" t="s">
        <v>29</v>
      </c>
      <c r="Q24" s="19">
        <f t="shared" si="0"/>
        <v>1500</v>
      </c>
    </row>
    <row r="25" spans="1:19" x14ac:dyDescent="0.3">
      <c r="A25" t="s">
        <v>298</v>
      </c>
      <c r="B25" s="1">
        <v>44904</v>
      </c>
      <c r="C25" s="6" t="s">
        <v>299</v>
      </c>
      <c r="D25" s="6" t="s">
        <v>257</v>
      </c>
      <c r="E25" s="6" t="s">
        <v>258</v>
      </c>
      <c r="F25" s="6"/>
      <c r="G25" s="4">
        <v>10</v>
      </c>
      <c r="H25" s="6" t="s">
        <v>191</v>
      </c>
      <c r="I25" s="1">
        <v>44938</v>
      </c>
      <c r="J25" s="8"/>
      <c r="K25" s="6" t="s">
        <v>300</v>
      </c>
      <c r="L25" s="6" t="s">
        <v>301</v>
      </c>
      <c r="M25" s="6" t="s">
        <v>39</v>
      </c>
      <c r="N25" s="6" t="s">
        <v>40</v>
      </c>
      <c r="O25" s="4">
        <v>12</v>
      </c>
      <c r="P25" s="6" t="s">
        <v>25</v>
      </c>
      <c r="Q25" s="19">
        <f t="shared" si="0"/>
        <v>0</v>
      </c>
    </row>
    <row r="26" spans="1:19" x14ac:dyDescent="0.3">
      <c r="A26" t="s">
        <v>303</v>
      </c>
      <c r="B26" s="1">
        <v>44904</v>
      </c>
      <c r="C26" s="6" t="s">
        <v>304</v>
      </c>
      <c r="D26" s="6" t="s">
        <v>143</v>
      </c>
      <c r="E26" s="6" t="s">
        <v>144</v>
      </c>
      <c r="F26" s="6"/>
      <c r="G26" s="4">
        <v>1</v>
      </c>
      <c r="H26" s="6" t="s">
        <v>138</v>
      </c>
      <c r="I26" s="1">
        <v>44923</v>
      </c>
      <c r="J26" s="8">
        <v>600</v>
      </c>
      <c r="K26" s="6" t="s">
        <v>305</v>
      </c>
      <c r="L26" s="6" t="s">
        <v>306</v>
      </c>
      <c r="M26" s="6" t="s">
        <v>145</v>
      </c>
      <c r="N26" s="6" t="s">
        <v>146</v>
      </c>
      <c r="O26" s="4">
        <v>3</v>
      </c>
      <c r="P26" s="6" t="s">
        <v>30</v>
      </c>
      <c r="Q26" s="19">
        <f t="shared" si="0"/>
        <v>600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6E5EC-62FA-440C-8385-1B61B496B8D6}">
  <sheetPr codeName="Sheet31"/>
  <dimension ref="A1:U26"/>
  <sheetViews>
    <sheetView workbookViewId="0">
      <selection activeCell="Q8" sqref="Q8"/>
    </sheetView>
  </sheetViews>
  <sheetFormatPr defaultRowHeight="14.4" x14ac:dyDescent="0.3"/>
  <cols>
    <col min="1" max="1" width="13.33203125" bestFit="1" customWidth="1"/>
    <col min="2" max="2" width="11.33203125" bestFit="1" customWidth="1"/>
    <col min="3" max="3" width="16.44140625" bestFit="1" customWidth="1"/>
    <col min="4" max="4" width="13.21875" bestFit="1" customWidth="1"/>
    <col min="5" max="5" width="11.109375" bestFit="1" customWidth="1"/>
    <col min="6" max="6" width="7.33203125" bestFit="1" customWidth="1"/>
    <col min="7" max="7" width="9.77734375" bestFit="1" customWidth="1"/>
    <col min="8" max="8" width="16.88671875" bestFit="1" customWidth="1"/>
    <col min="9" max="9" width="11.77734375" bestFit="1" customWidth="1"/>
    <col min="10" max="10" width="10.33203125" bestFit="1" customWidth="1"/>
    <col min="11" max="11" width="9.77734375" bestFit="1" customWidth="1"/>
    <col min="12" max="12" width="11.88671875" bestFit="1" customWidth="1"/>
    <col min="13" max="13" width="12.77734375" bestFit="1" customWidth="1"/>
    <col min="14" max="14" width="10.5546875" bestFit="1" customWidth="1"/>
    <col min="16" max="16" width="18.88671875" bestFit="1" customWidth="1"/>
    <col min="17" max="17" width="9.21875" bestFit="1" customWidth="1"/>
    <col min="20" max="20" width="11.33203125" bestFit="1" customWidth="1"/>
    <col min="21" max="21" width="13.77734375" bestFit="1" customWidth="1"/>
  </cols>
  <sheetData>
    <row r="1" spans="1:21" x14ac:dyDescent="0.3">
      <c r="A1" s="2" t="s">
        <v>10</v>
      </c>
      <c r="B1" s="9" t="s">
        <v>9</v>
      </c>
      <c r="C1" s="5" t="s">
        <v>11</v>
      </c>
      <c r="D1" s="5" t="s">
        <v>12</v>
      </c>
      <c r="E1" s="5" t="s">
        <v>13</v>
      </c>
      <c r="F1" s="5" t="s">
        <v>14</v>
      </c>
      <c r="G1" s="3" t="s">
        <v>7</v>
      </c>
      <c r="H1" s="5" t="s">
        <v>47</v>
      </c>
      <c r="I1" s="9" t="s">
        <v>15</v>
      </c>
      <c r="J1" s="7" t="s">
        <v>16</v>
      </c>
      <c r="K1" s="5" t="s">
        <v>17</v>
      </c>
      <c r="L1" s="5" t="s">
        <v>18</v>
      </c>
      <c r="M1" s="5" t="s">
        <v>19</v>
      </c>
      <c r="N1" s="5" t="s">
        <v>20</v>
      </c>
      <c r="O1" s="3" t="s">
        <v>27</v>
      </c>
      <c r="P1" s="5" t="s">
        <v>28</v>
      </c>
      <c r="Q1" s="18" t="s">
        <v>157</v>
      </c>
      <c r="R1" s="5"/>
      <c r="S1" s="18"/>
      <c r="T1" s="9" t="s">
        <v>9</v>
      </c>
      <c r="U1" s="9" t="s">
        <v>9</v>
      </c>
    </row>
    <row r="2" spans="1:21" x14ac:dyDescent="0.3">
      <c r="A2" t="s">
        <v>48</v>
      </c>
      <c r="B2" s="1">
        <v>44862</v>
      </c>
      <c r="C2" s="6" t="s">
        <v>77</v>
      </c>
      <c r="D2" s="6" t="s">
        <v>8</v>
      </c>
      <c r="E2" s="6" t="s">
        <v>41</v>
      </c>
      <c r="F2" s="6" t="s">
        <v>78</v>
      </c>
      <c r="G2" s="4">
        <v>22</v>
      </c>
      <c r="H2" s="6" t="s">
        <v>43</v>
      </c>
      <c r="I2" s="1">
        <v>45227</v>
      </c>
      <c r="J2" s="8">
        <v>7000</v>
      </c>
      <c r="K2" s="6" t="s">
        <v>208</v>
      </c>
      <c r="L2" s="6" t="s">
        <v>209</v>
      </c>
      <c r="M2" s="6" t="s">
        <v>21</v>
      </c>
      <c r="N2" s="6" t="s">
        <v>22</v>
      </c>
      <c r="O2" s="4">
        <v>4</v>
      </c>
      <c r="P2" s="6" t="s">
        <v>25</v>
      </c>
      <c r="Q2" s="19">
        <f>(G2*J2)</f>
        <v>154000</v>
      </c>
      <c r="T2" t="s">
        <v>244</v>
      </c>
      <c r="U2" t="s">
        <v>309</v>
      </c>
    </row>
    <row r="3" spans="1:21" x14ac:dyDescent="0.3">
      <c r="A3" t="s">
        <v>49</v>
      </c>
      <c r="B3" s="1">
        <v>44863</v>
      </c>
      <c r="C3" s="6" t="s">
        <v>76</v>
      </c>
      <c r="D3" s="6" t="s">
        <v>8</v>
      </c>
      <c r="E3" s="6" t="s">
        <v>41</v>
      </c>
      <c r="F3" s="6" t="s">
        <v>210</v>
      </c>
      <c r="G3" s="4">
        <v>20</v>
      </c>
      <c r="H3" s="6" t="s">
        <v>43</v>
      </c>
      <c r="I3" s="1">
        <v>44868</v>
      </c>
      <c r="J3" s="8">
        <v>5600</v>
      </c>
      <c r="K3" s="6" t="s">
        <v>211</v>
      </c>
      <c r="L3" s="6" t="s">
        <v>212</v>
      </c>
      <c r="M3" s="6" t="s">
        <v>21</v>
      </c>
      <c r="N3" s="6" t="s">
        <v>22</v>
      </c>
      <c r="O3" s="4">
        <v>4</v>
      </c>
      <c r="P3" s="6" t="s">
        <v>25</v>
      </c>
      <c r="Q3" s="19">
        <f t="shared" ref="Q3:Q26" si="0">(G3*J3)</f>
        <v>112000</v>
      </c>
    </row>
    <row r="4" spans="1:21" x14ac:dyDescent="0.3">
      <c r="A4" t="s">
        <v>55</v>
      </c>
      <c r="B4" s="1">
        <v>44863</v>
      </c>
      <c r="C4" s="6" t="s">
        <v>76</v>
      </c>
      <c r="D4" s="6" t="s">
        <v>44</v>
      </c>
      <c r="E4" s="6" t="s">
        <v>45</v>
      </c>
      <c r="F4" s="6" t="s">
        <v>82</v>
      </c>
      <c r="G4" s="4">
        <v>1</v>
      </c>
      <c r="H4" s="6" t="s">
        <v>46</v>
      </c>
      <c r="I4" s="1">
        <v>44926</v>
      </c>
      <c r="J4" s="8">
        <v>5000</v>
      </c>
      <c r="K4" s="6" t="s">
        <v>213</v>
      </c>
      <c r="L4" s="6" t="s">
        <v>214</v>
      </c>
      <c r="M4" s="6" t="s">
        <v>21</v>
      </c>
      <c r="N4" s="6" t="s">
        <v>22</v>
      </c>
      <c r="O4" s="4">
        <v>2</v>
      </c>
      <c r="P4" s="6" t="s">
        <v>25</v>
      </c>
      <c r="Q4" s="19">
        <f t="shared" si="0"/>
        <v>5000</v>
      </c>
    </row>
    <row r="5" spans="1:21" x14ac:dyDescent="0.3">
      <c r="A5" t="s">
        <v>56</v>
      </c>
      <c r="B5" s="1">
        <v>44863</v>
      </c>
      <c r="C5" s="6" t="s">
        <v>83</v>
      </c>
      <c r="D5" s="6" t="s">
        <v>44</v>
      </c>
      <c r="E5" s="6" t="s">
        <v>45</v>
      </c>
      <c r="F5" s="6" t="s">
        <v>84</v>
      </c>
      <c r="G5" s="4">
        <v>6</v>
      </c>
      <c r="H5" s="6" t="s">
        <v>46</v>
      </c>
      <c r="I5" s="1">
        <v>45228</v>
      </c>
      <c r="J5" s="8">
        <v>500</v>
      </c>
      <c r="K5" s="6" t="s">
        <v>215</v>
      </c>
      <c r="L5" s="6" t="s">
        <v>216</v>
      </c>
      <c r="M5" s="6" t="s">
        <v>21</v>
      </c>
      <c r="N5" s="6" t="s">
        <v>22</v>
      </c>
      <c r="O5" s="4">
        <v>2</v>
      </c>
      <c r="P5" s="6" t="s">
        <v>25</v>
      </c>
      <c r="Q5" s="19">
        <f t="shared" si="0"/>
        <v>3000</v>
      </c>
    </row>
    <row r="6" spans="1:21" x14ac:dyDescent="0.3">
      <c r="A6" t="s">
        <v>58</v>
      </c>
      <c r="B6" s="1">
        <v>44863</v>
      </c>
      <c r="C6" s="6" t="s">
        <v>57</v>
      </c>
      <c r="D6" s="6" t="s">
        <v>44</v>
      </c>
      <c r="E6" s="6" t="s">
        <v>45</v>
      </c>
      <c r="F6" s="6" t="s">
        <v>85</v>
      </c>
      <c r="G6" s="4">
        <v>7</v>
      </c>
      <c r="H6" s="6" t="s">
        <v>46</v>
      </c>
      <c r="I6" s="1">
        <v>45594</v>
      </c>
      <c r="J6" s="8">
        <v>3500</v>
      </c>
      <c r="K6" s="6" t="s">
        <v>217</v>
      </c>
      <c r="L6" s="6" t="s">
        <v>218</v>
      </c>
      <c r="M6" s="6" t="s">
        <v>21</v>
      </c>
      <c r="N6" s="6" t="s">
        <v>22</v>
      </c>
      <c r="O6" s="4">
        <v>2</v>
      </c>
      <c r="P6" s="6" t="s">
        <v>25</v>
      </c>
      <c r="Q6" s="19">
        <f t="shared" si="0"/>
        <v>24500</v>
      </c>
    </row>
    <row r="7" spans="1:21" x14ac:dyDescent="0.3">
      <c r="A7" t="s">
        <v>48</v>
      </c>
      <c r="B7" s="1">
        <v>44863</v>
      </c>
      <c r="C7" s="6" t="s">
        <v>88</v>
      </c>
      <c r="D7" s="6" t="s">
        <v>3</v>
      </c>
      <c r="E7" s="6" t="s">
        <v>24</v>
      </c>
      <c r="F7" s="6" t="s">
        <v>89</v>
      </c>
      <c r="G7" s="4">
        <v>10</v>
      </c>
      <c r="H7" s="6" t="s">
        <v>43</v>
      </c>
      <c r="I7" s="1">
        <v>45959</v>
      </c>
      <c r="J7" s="8">
        <v>7000</v>
      </c>
      <c r="K7" s="6" t="s">
        <v>90</v>
      </c>
      <c r="L7" s="6" t="s">
        <v>91</v>
      </c>
      <c r="M7" s="6" t="s">
        <v>1</v>
      </c>
      <c r="N7" s="6" t="s">
        <v>2</v>
      </c>
      <c r="O7" s="4">
        <v>2</v>
      </c>
      <c r="P7" s="6" t="s">
        <v>25</v>
      </c>
      <c r="Q7" s="19">
        <f t="shared" si="0"/>
        <v>70000</v>
      </c>
    </row>
    <row r="8" spans="1:21" x14ac:dyDescent="0.3">
      <c r="A8" t="s">
        <v>49</v>
      </c>
      <c r="B8" s="1">
        <v>44863</v>
      </c>
      <c r="C8" s="6" t="s">
        <v>88</v>
      </c>
      <c r="D8" s="6" t="s">
        <v>44</v>
      </c>
      <c r="E8" s="6" t="s">
        <v>45</v>
      </c>
      <c r="F8" s="6" t="s">
        <v>92</v>
      </c>
      <c r="G8" s="4">
        <v>23</v>
      </c>
      <c r="H8" s="6" t="s">
        <v>46</v>
      </c>
      <c r="I8" s="1">
        <v>45959</v>
      </c>
      <c r="J8" s="8">
        <v>5600</v>
      </c>
      <c r="K8" s="6" t="s">
        <v>93</v>
      </c>
      <c r="L8" s="6" t="s">
        <v>94</v>
      </c>
      <c r="M8" s="6" t="s">
        <v>21</v>
      </c>
      <c r="N8" s="6" t="s">
        <v>22</v>
      </c>
      <c r="O8" s="4">
        <v>2</v>
      </c>
      <c r="P8" s="6" t="s">
        <v>25</v>
      </c>
      <c r="Q8" s="19">
        <f t="shared" si="0"/>
        <v>128800</v>
      </c>
    </row>
    <row r="9" spans="1:21" x14ac:dyDescent="0.3">
      <c r="A9" t="s">
        <v>55</v>
      </c>
      <c r="B9" s="1">
        <v>44863</v>
      </c>
      <c r="C9" s="6" t="s">
        <v>95</v>
      </c>
      <c r="D9" s="6" t="s">
        <v>3</v>
      </c>
      <c r="E9" s="6" t="s">
        <v>24</v>
      </c>
      <c r="F9" s="6" t="s">
        <v>96</v>
      </c>
      <c r="G9" s="4">
        <v>6</v>
      </c>
      <c r="H9" s="6" t="s">
        <v>43</v>
      </c>
      <c r="I9" s="1">
        <v>45594</v>
      </c>
      <c r="J9" s="8"/>
      <c r="K9" s="6" t="s">
        <v>219</v>
      </c>
      <c r="L9" s="6" t="s">
        <v>220</v>
      </c>
      <c r="M9" s="6" t="s">
        <v>1</v>
      </c>
      <c r="N9" s="6" t="s">
        <v>2</v>
      </c>
      <c r="O9" s="4">
        <v>2</v>
      </c>
      <c r="P9" s="6" t="s">
        <v>25</v>
      </c>
      <c r="Q9" s="19">
        <f t="shared" si="0"/>
        <v>0</v>
      </c>
    </row>
    <row r="10" spans="1:21" x14ac:dyDescent="0.3">
      <c r="A10" t="s">
        <v>56</v>
      </c>
      <c r="B10" s="1">
        <v>44863</v>
      </c>
      <c r="C10" s="6" t="s">
        <v>105</v>
      </c>
      <c r="D10" s="6" t="s">
        <v>44</v>
      </c>
      <c r="E10" s="6" t="s">
        <v>45</v>
      </c>
      <c r="F10" s="6"/>
      <c r="G10" s="4">
        <v>13</v>
      </c>
      <c r="H10" s="6" t="s">
        <v>46</v>
      </c>
      <c r="I10" s="1">
        <v>45594</v>
      </c>
      <c r="J10" s="8">
        <v>500</v>
      </c>
      <c r="K10" s="6" t="s">
        <v>106</v>
      </c>
      <c r="L10" s="6" t="s">
        <v>107</v>
      </c>
      <c r="M10" s="6" t="s">
        <v>21</v>
      </c>
      <c r="N10" s="6" t="s">
        <v>22</v>
      </c>
      <c r="O10" s="4">
        <v>2</v>
      </c>
      <c r="P10" s="6" t="s">
        <v>25</v>
      </c>
      <c r="Q10" s="19">
        <f t="shared" si="0"/>
        <v>6500</v>
      </c>
    </row>
    <row r="11" spans="1:21" x14ac:dyDescent="0.3">
      <c r="A11" t="s">
        <v>58</v>
      </c>
      <c r="B11" s="1">
        <v>44863</v>
      </c>
      <c r="C11" s="6" t="s">
        <v>108</v>
      </c>
      <c r="D11" s="6" t="s">
        <v>44</v>
      </c>
      <c r="E11" s="6" t="s">
        <v>45</v>
      </c>
      <c r="F11" s="6" t="s">
        <v>109</v>
      </c>
      <c r="G11" s="4">
        <v>54</v>
      </c>
      <c r="H11" s="6" t="s">
        <v>46</v>
      </c>
      <c r="I11" s="1">
        <v>46689</v>
      </c>
      <c r="J11" s="8">
        <v>5678</v>
      </c>
      <c r="K11" s="6" t="s">
        <v>110</v>
      </c>
      <c r="L11" s="6" t="s">
        <v>111</v>
      </c>
      <c r="M11" s="6" t="s">
        <v>21</v>
      </c>
      <c r="N11" s="6" t="s">
        <v>22</v>
      </c>
      <c r="O11" s="4">
        <v>2</v>
      </c>
      <c r="P11" s="6" t="s">
        <v>25</v>
      </c>
      <c r="Q11" s="19">
        <f t="shared" si="0"/>
        <v>306612</v>
      </c>
    </row>
    <row r="12" spans="1:21" x14ac:dyDescent="0.3">
      <c r="A12" t="s">
        <v>59</v>
      </c>
      <c r="B12" s="1">
        <v>44863</v>
      </c>
      <c r="C12" s="6" t="s">
        <v>112</v>
      </c>
      <c r="D12" s="6" t="s">
        <v>3</v>
      </c>
      <c r="E12" s="6" t="s">
        <v>24</v>
      </c>
      <c r="F12" s="6" t="s">
        <v>113</v>
      </c>
      <c r="G12" s="4">
        <v>10</v>
      </c>
      <c r="H12" s="6" t="s">
        <v>43</v>
      </c>
      <c r="I12" s="1">
        <v>45594</v>
      </c>
      <c r="J12" s="8">
        <v>6767</v>
      </c>
      <c r="K12" s="6" t="s">
        <v>221</v>
      </c>
      <c r="L12" s="6" t="s">
        <v>222</v>
      </c>
      <c r="M12" s="6" t="s">
        <v>1</v>
      </c>
      <c r="N12" s="6" t="s">
        <v>2</v>
      </c>
      <c r="O12" s="4">
        <v>2</v>
      </c>
      <c r="P12" s="6" t="s">
        <v>25</v>
      </c>
      <c r="Q12" s="19">
        <f t="shared" si="0"/>
        <v>67670</v>
      </c>
    </row>
    <row r="13" spans="1:21" x14ac:dyDescent="0.3">
      <c r="A13" t="s">
        <v>114</v>
      </c>
      <c r="B13" s="1">
        <v>44863</v>
      </c>
      <c r="C13" s="6" t="s">
        <v>115</v>
      </c>
      <c r="D13" s="6" t="s">
        <v>3</v>
      </c>
      <c r="E13" s="6" t="s">
        <v>24</v>
      </c>
      <c r="F13" s="6" t="s">
        <v>116</v>
      </c>
      <c r="G13" s="4">
        <v>22</v>
      </c>
      <c r="H13" s="6" t="s">
        <v>43</v>
      </c>
      <c r="I13" s="1">
        <v>46689</v>
      </c>
      <c r="J13" s="8">
        <v>5600</v>
      </c>
      <c r="K13" s="6" t="s">
        <v>117</v>
      </c>
      <c r="L13" s="6" t="s">
        <v>118</v>
      </c>
      <c r="M13" s="6" t="s">
        <v>1</v>
      </c>
      <c r="N13" s="6" t="s">
        <v>2</v>
      </c>
      <c r="O13" s="4">
        <v>2</v>
      </c>
      <c r="P13" s="6" t="s">
        <v>25</v>
      </c>
      <c r="Q13" s="19">
        <f t="shared" si="0"/>
        <v>123200</v>
      </c>
    </row>
    <row r="14" spans="1:21" x14ac:dyDescent="0.3">
      <c r="A14" t="s">
        <v>119</v>
      </c>
      <c r="B14" s="1">
        <v>44863</v>
      </c>
      <c r="C14" s="6" t="s">
        <v>120</v>
      </c>
      <c r="D14" s="6" t="s">
        <v>8</v>
      </c>
      <c r="E14" s="6" t="s">
        <v>41</v>
      </c>
      <c r="F14" s="6" t="s">
        <v>121</v>
      </c>
      <c r="G14" s="4">
        <v>3</v>
      </c>
      <c r="H14" s="6" t="s">
        <v>43</v>
      </c>
      <c r="I14" s="1">
        <v>45228</v>
      </c>
      <c r="J14" s="8">
        <v>56789</v>
      </c>
      <c r="K14" s="6" t="s">
        <v>122</v>
      </c>
      <c r="L14" s="6" t="s">
        <v>123</v>
      </c>
      <c r="M14" s="6" t="s">
        <v>21</v>
      </c>
      <c r="N14" s="6" t="s">
        <v>22</v>
      </c>
      <c r="O14" s="4">
        <v>4</v>
      </c>
      <c r="P14" s="6" t="s">
        <v>25</v>
      </c>
      <c r="Q14" s="19">
        <f t="shared" si="0"/>
        <v>170367</v>
      </c>
    </row>
    <row r="15" spans="1:21" x14ac:dyDescent="0.3">
      <c r="A15" t="s">
        <v>125</v>
      </c>
      <c r="B15" s="1">
        <v>44863</v>
      </c>
      <c r="C15" s="6" t="s">
        <v>126</v>
      </c>
      <c r="D15" s="6" t="s">
        <v>44</v>
      </c>
      <c r="E15" s="6" t="s">
        <v>45</v>
      </c>
      <c r="F15" s="6" t="s">
        <v>127</v>
      </c>
      <c r="G15" s="4">
        <v>12</v>
      </c>
      <c r="H15" s="6" t="s">
        <v>46</v>
      </c>
      <c r="I15" s="1">
        <v>45228</v>
      </c>
      <c r="J15" s="8">
        <v>3422</v>
      </c>
      <c r="K15" s="6" t="s">
        <v>128</v>
      </c>
      <c r="L15" s="6" t="s">
        <v>129</v>
      </c>
      <c r="M15" s="6" t="s">
        <v>21</v>
      </c>
      <c r="N15" s="6" t="s">
        <v>22</v>
      </c>
      <c r="O15" s="4">
        <v>2</v>
      </c>
      <c r="P15" s="6" t="s">
        <v>25</v>
      </c>
      <c r="Q15" s="19">
        <f t="shared" si="0"/>
        <v>41064</v>
      </c>
    </row>
    <row r="16" spans="1:21" x14ac:dyDescent="0.3">
      <c r="A16" t="s">
        <v>153</v>
      </c>
      <c r="B16" s="1">
        <v>44869</v>
      </c>
      <c r="C16" s="6" t="s">
        <v>120</v>
      </c>
      <c r="D16" s="6" t="s">
        <v>8</v>
      </c>
      <c r="E16" s="6" t="s">
        <v>41</v>
      </c>
      <c r="F16" s="6" t="s">
        <v>121</v>
      </c>
      <c r="G16" s="4">
        <v>3</v>
      </c>
      <c r="H16" s="6" t="s">
        <v>43</v>
      </c>
      <c r="I16" s="1">
        <v>45228</v>
      </c>
      <c r="J16" s="8">
        <v>56789</v>
      </c>
      <c r="K16" s="6" t="s">
        <v>122</v>
      </c>
      <c r="L16" s="6" t="s">
        <v>123</v>
      </c>
      <c r="M16" s="6" t="s">
        <v>21</v>
      </c>
      <c r="N16" s="6" t="s">
        <v>22</v>
      </c>
      <c r="O16" s="4">
        <v>4</v>
      </c>
      <c r="P16" s="6" t="s">
        <v>25</v>
      </c>
      <c r="Q16" s="19">
        <f t="shared" si="0"/>
        <v>170367</v>
      </c>
    </row>
    <row r="17" spans="1:17" x14ac:dyDescent="0.3">
      <c r="A17" t="s">
        <v>161</v>
      </c>
      <c r="B17" s="1">
        <v>44879</v>
      </c>
      <c r="C17" s="6" t="s">
        <v>162</v>
      </c>
      <c r="D17" s="6" t="s">
        <v>158</v>
      </c>
      <c r="E17" s="6" t="s">
        <v>159</v>
      </c>
      <c r="F17" s="6" t="s">
        <v>163</v>
      </c>
      <c r="G17" s="4">
        <v>18</v>
      </c>
      <c r="H17" s="6" t="s">
        <v>160</v>
      </c>
      <c r="I17" s="1">
        <v>45244</v>
      </c>
      <c r="J17" s="8"/>
      <c r="K17" s="6" t="s">
        <v>164</v>
      </c>
      <c r="L17" s="6" t="s">
        <v>165</v>
      </c>
      <c r="M17" s="6" t="s">
        <v>32</v>
      </c>
      <c r="N17" s="6" t="s">
        <v>34</v>
      </c>
      <c r="O17" s="4">
        <v>1</v>
      </c>
      <c r="P17" s="6" t="s">
        <v>30</v>
      </c>
      <c r="Q17" s="19">
        <f t="shared" si="0"/>
        <v>0</v>
      </c>
    </row>
    <row r="18" spans="1:17" x14ac:dyDescent="0.3">
      <c r="A18" t="s">
        <v>250</v>
      </c>
      <c r="B18" s="1">
        <v>44892</v>
      </c>
      <c r="C18" s="6" t="s">
        <v>251</v>
      </c>
      <c r="D18" s="6" t="s">
        <v>248</v>
      </c>
      <c r="E18" s="6" t="s">
        <v>249</v>
      </c>
      <c r="F18" s="6" t="s">
        <v>252</v>
      </c>
      <c r="G18" s="4">
        <v>15</v>
      </c>
      <c r="H18" s="6" t="s">
        <v>43</v>
      </c>
      <c r="I18" s="1">
        <v>44911</v>
      </c>
      <c r="J18" s="8">
        <v>2000</v>
      </c>
      <c r="K18" s="6" t="s">
        <v>253</v>
      </c>
      <c r="L18" s="6" t="s">
        <v>254</v>
      </c>
      <c r="M18" s="6" t="s">
        <v>21</v>
      </c>
      <c r="N18" s="6" t="s">
        <v>35</v>
      </c>
      <c r="O18" s="4">
        <v>1</v>
      </c>
      <c r="P18" s="6" t="s">
        <v>29</v>
      </c>
      <c r="Q18" s="19">
        <f t="shared" si="0"/>
        <v>30000</v>
      </c>
    </row>
    <row r="19" spans="1:17" x14ac:dyDescent="0.3">
      <c r="A19" t="s">
        <v>259</v>
      </c>
      <c r="B19" s="1">
        <v>44898</v>
      </c>
      <c r="C19" s="6" t="s">
        <v>260</v>
      </c>
      <c r="D19" s="6" t="s">
        <v>257</v>
      </c>
      <c r="E19" s="6" t="s">
        <v>258</v>
      </c>
      <c r="F19" s="6"/>
      <c r="G19" s="4">
        <v>48</v>
      </c>
      <c r="H19" s="6" t="s">
        <v>191</v>
      </c>
      <c r="I19" s="1">
        <v>45263</v>
      </c>
      <c r="J19" s="8">
        <v>200</v>
      </c>
      <c r="K19" s="6" t="s">
        <v>261</v>
      </c>
      <c r="L19" s="6" t="s">
        <v>262</v>
      </c>
      <c r="M19" s="6" t="s">
        <v>39</v>
      </c>
      <c r="N19" s="6" t="s">
        <v>40</v>
      </c>
      <c r="O19" s="4">
        <v>12</v>
      </c>
      <c r="P19" s="6" t="s">
        <v>25</v>
      </c>
      <c r="Q19" s="19">
        <f t="shared" si="0"/>
        <v>9600</v>
      </c>
    </row>
    <row r="20" spans="1:17" x14ac:dyDescent="0.3">
      <c r="A20" t="s">
        <v>265</v>
      </c>
      <c r="B20" s="1">
        <v>44899</v>
      </c>
      <c r="C20" s="6" t="s">
        <v>266</v>
      </c>
      <c r="D20" s="6" t="s">
        <v>257</v>
      </c>
      <c r="E20" s="6" t="s">
        <v>258</v>
      </c>
      <c r="F20" s="6"/>
      <c r="G20" s="4">
        <v>6</v>
      </c>
      <c r="H20" s="6" t="s">
        <v>191</v>
      </c>
      <c r="I20" s="1">
        <v>44922</v>
      </c>
      <c r="J20" s="8">
        <v>600</v>
      </c>
      <c r="K20" s="6" t="s">
        <v>267</v>
      </c>
      <c r="L20" s="6" t="s">
        <v>268</v>
      </c>
      <c r="M20" s="6" t="s">
        <v>39</v>
      </c>
      <c r="N20" s="6" t="s">
        <v>40</v>
      </c>
      <c r="O20" s="4">
        <v>12</v>
      </c>
      <c r="P20" s="6" t="s">
        <v>25</v>
      </c>
      <c r="Q20" s="19">
        <f t="shared" si="0"/>
        <v>3600</v>
      </c>
    </row>
    <row r="21" spans="1:17" x14ac:dyDescent="0.3">
      <c r="A21" t="s">
        <v>269</v>
      </c>
      <c r="B21" s="1">
        <v>44899</v>
      </c>
      <c r="C21" s="6" t="s">
        <v>270</v>
      </c>
      <c r="D21" s="6" t="s">
        <v>189</v>
      </c>
      <c r="E21" s="6" t="s">
        <v>190</v>
      </c>
      <c r="F21" s="6"/>
      <c r="G21" s="4">
        <v>5</v>
      </c>
      <c r="H21" s="6" t="s">
        <v>191</v>
      </c>
      <c r="I21" s="1">
        <v>44916</v>
      </c>
      <c r="J21" s="8">
        <v>6000</v>
      </c>
      <c r="K21" s="6" t="s">
        <v>271</v>
      </c>
      <c r="L21" s="6" t="s">
        <v>272</v>
      </c>
      <c r="M21" s="6" t="s">
        <v>38</v>
      </c>
      <c r="N21" s="6" t="s">
        <v>40</v>
      </c>
      <c r="O21" s="4">
        <v>10</v>
      </c>
      <c r="P21" s="6" t="s">
        <v>29</v>
      </c>
      <c r="Q21" s="19">
        <f t="shared" si="0"/>
        <v>30000</v>
      </c>
    </row>
    <row r="22" spans="1:17" x14ac:dyDescent="0.3">
      <c r="A22" t="s">
        <v>273</v>
      </c>
      <c r="B22" s="1">
        <v>44899</v>
      </c>
      <c r="C22" s="6" t="s">
        <v>274</v>
      </c>
      <c r="D22" s="6" t="s">
        <v>135</v>
      </c>
      <c r="E22" s="6" t="s">
        <v>136</v>
      </c>
      <c r="F22" s="6"/>
      <c r="G22" s="4">
        <v>15</v>
      </c>
      <c r="H22" s="6" t="s">
        <v>138</v>
      </c>
      <c r="I22" s="1">
        <v>44926</v>
      </c>
      <c r="J22" s="8">
        <v>600</v>
      </c>
      <c r="K22" s="6" t="s">
        <v>275</v>
      </c>
      <c r="L22" s="6" t="s">
        <v>276</v>
      </c>
      <c r="M22" s="6" t="s">
        <v>31</v>
      </c>
      <c r="N22" s="6" t="s">
        <v>137</v>
      </c>
      <c r="O22" s="4">
        <v>2</v>
      </c>
      <c r="P22" s="6" t="s">
        <v>29</v>
      </c>
      <c r="Q22" s="19">
        <f t="shared" si="0"/>
        <v>9000</v>
      </c>
    </row>
    <row r="23" spans="1:17" x14ac:dyDescent="0.3">
      <c r="A23" t="s">
        <v>277</v>
      </c>
      <c r="B23" s="1">
        <v>44899</v>
      </c>
      <c r="C23" s="6" t="s">
        <v>278</v>
      </c>
      <c r="D23" s="6" t="s">
        <v>3</v>
      </c>
      <c r="E23" s="6" t="s">
        <v>24</v>
      </c>
      <c r="F23" s="6"/>
      <c r="G23" s="4">
        <v>2</v>
      </c>
      <c r="H23" s="6" t="s">
        <v>43</v>
      </c>
      <c r="I23" s="1">
        <v>44927</v>
      </c>
      <c r="J23" s="8">
        <v>4500</v>
      </c>
      <c r="K23" s="6" t="s">
        <v>279</v>
      </c>
      <c r="L23" s="6" t="s">
        <v>280</v>
      </c>
      <c r="M23" s="6" t="s">
        <v>1</v>
      </c>
      <c r="N23" s="6" t="s">
        <v>2</v>
      </c>
      <c r="O23" s="4">
        <v>2</v>
      </c>
      <c r="P23" s="6" t="s">
        <v>25</v>
      </c>
      <c r="Q23" s="19">
        <f t="shared" si="0"/>
        <v>9000</v>
      </c>
    </row>
    <row r="24" spans="1:17" x14ac:dyDescent="0.3">
      <c r="A24" t="s">
        <v>293</v>
      </c>
      <c r="B24" s="1">
        <v>44901</v>
      </c>
      <c r="C24" s="6" t="s">
        <v>294</v>
      </c>
      <c r="D24" s="6" t="s">
        <v>291</v>
      </c>
      <c r="E24" s="6" t="s">
        <v>292</v>
      </c>
      <c r="F24" s="6"/>
      <c r="G24" s="4">
        <v>3</v>
      </c>
      <c r="H24" s="6" t="s">
        <v>191</v>
      </c>
      <c r="I24" s="1">
        <v>45632</v>
      </c>
      <c r="J24" s="8">
        <v>500</v>
      </c>
      <c r="K24" s="6" t="s">
        <v>295</v>
      </c>
      <c r="L24" s="6" t="s">
        <v>296</v>
      </c>
      <c r="M24" s="6" t="s">
        <v>21</v>
      </c>
      <c r="N24" s="6" t="s">
        <v>40</v>
      </c>
      <c r="O24" s="4">
        <v>2</v>
      </c>
      <c r="P24" s="6" t="s">
        <v>29</v>
      </c>
      <c r="Q24" s="19">
        <f t="shared" si="0"/>
        <v>1500</v>
      </c>
    </row>
    <row r="25" spans="1:17" x14ac:dyDescent="0.3">
      <c r="A25" t="s">
        <v>298</v>
      </c>
      <c r="B25" s="1">
        <v>44904</v>
      </c>
      <c r="C25" s="6" t="s">
        <v>299</v>
      </c>
      <c r="D25" s="6" t="s">
        <v>257</v>
      </c>
      <c r="E25" s="6" t="s">
        <v>258</v>
      </c>
      <c r="F25" s="6"/>
      <c r="G25" s="4">
        <v>10</v>
      </c>
      <c r="H25" s="6" t="s">
        <v>191</v>
      </c>
      <c r="I25" s="1">
        <v>44938</v>
      </c>
      <c r="J25" s="8"/>
      <c r="K25" s="6" t="s">
        <v>300</v>
      </c>
      <c r="L25" s="6" t="s">
        <v>301</v>
      </c>
      <c r="M25" s="6" t="s">
        <v>39</v>
      </c>
      <c r="N25" s="6" t="s">
        <v>40</v>
      </c>
      <c r="O25" s="4">
        <v>12</v>
      </c>
      <c r="P25" s="6" t="s">
        <v>25</v>
      </c>
      <c r="Q25" s="19">
        <f t="shared" si="0"/>
        <v>0</v>
      </c>
    </row>
    <row r="26" spans="1:17" x14ac:dyDescent="0.3">
      <c r="A26" t="s">
        <v>303</v>
      </c>
      <c r="B26" s="1">
        <v>44904</v>
      </c>
      <c r="C26" s="6" t="s">
        <v>304</v>
      </c>
      <c r="D26" s="6" t="s">
        <v>143</v>
      </c>
      <c r="E26" s="6" t="s">
        <v>144</v>
      </c>
      <c r="F26" s="6"/>
      <c r="G26" s="4">
        <v>1</v>
      </c>
      <c r="H26" s="6" t="s">
        <v>138</v>
      </c>
      <c r="I26" s="1">
        <v>44923</v>
      </c>
      <c r="J26" s="8">
        <v>600</v>
      </c>
      <c r="K26" s="6" t="s">
        <v>305</v>
      </c>
      <c r="L26" s="6" t="s">
        <v>306</v>
      </c>
      <c r="M26" s="6" t="s">
        <v>145</v>
      </c>
      <c r="N26" s="6" t="s">
        <v>146</v>
      </c>
      <c r="O26" s="4">
        <v>3</v>
      </c>
      <c r="P26" s="6" t="s">
        <v>30</v>
      </c>
      <c r="Q26" s="19">
        <f t="shared" si="0"/>
        <v>600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499F4-96C3-4831-8E5D-CC76884E0967}">
  <sheetPr codeName="Sheet15"/>
  <dimension ref="A1:B25"/>
  <sheetViews>
    <sheetView workbookViewId="0">
      <selection activeCell="J23" sqref="J23"/>
    </sheetView>
  </sheetViews>
  <sheetFormatPr defaultRowHeight="14.4" x14ac:dyDescent="0.3"/>
  <cols>
    <col min="1" max="1" width="11.33203125" bestFit="1" customWidth="1"/>
    <col min="2" max="2" width="10.77734375" style="19" bestFit="1" customWidth="1"/>
  </cols>
  <sheetData>
    <row r="1" spans="1:2" x14ac:dyDescent="0.3">
      <c r="A1" s="9" t="s">
        <v>9</v>
      </c>
      <c r="B1" s="18" t="s">
        <v>157</v>
      </c>
    </row>
    <row r="2" spans="1:2" x14ac:dyDescent="0.3">
      <c r="A2" s="1">
        <v>44862</v>
      </c>
      <c r="B2" s="19" t="e">
        <f>(#REF!*#REF!)</f>
        <v>#REF!</v>
      </c>
    </row>
    <row r="3" spans="1:2" x14ac:dyDescent="0.3">
      <c r="A3" s="1">
        <v>44863</v>
      </c>
      <c r="B3" s="19" t="e">
        <f t="shared" ref="B3" si="0">(#REF!*#REF!)</f>
        <v>#REF!</v>
      </c>
    </row>
    <row r="4" spans="1:2" x14ac:dyDescent="0.3">
      <c r="A4" s="1">
        <v>44863</v>
      </c>
      <c r="B4" s="19" t="e">
        <f t="shared" ref="B4" si="1">(#REF!*#REF!)</f>
        <v>#REF!</v>
      </c>
    </row>
    <row r="5" spans="1:2" x14ac:dyDescent="0.3">
      <c r="A5" s="1">
        <v>44863</v>
      </c>
      <c r="B5" s="19" t="e">
        <f t="shared" ref="B5" si="2">(#REF!*#REF!)</f>
        <v>#REF!</v>
      </c>
    </row>
    <row r="6" spans="1:2" x14ac:dyDescent="0.3">
      <c r="A6" s="1">
        <v>44863</v>
      </c>
      <c r="B6" s="19" t="e">
        <f t="shared" ref="B6" si="3">(#REF!*#REF!)</f>
        <v>#REF!</v>
      </c>
    </row>
    <row r="7" spans="1:2" x14ac:dyDescent="0.3">
      <c r="A7" s="1">
        <v>44863</v>
      </c>
      <c r="B7" s="19" t="e">
        <f t="shared" ref="B7" si="4">(#REF!*#REF!)</f>
        <v>#REF!</v>
      </c>
    </row>
    <row r="8" spans="1:2" x14ac:dyDescent="0.3">
      <c r="A8" s="1">
        <v>44863</v>
      </c>
      <c r="B8" s="19" t="e">
        <f t="shared" ref="B8" si="5">(#REF!*#REF!)</f>
        <v>#REF!</v>
      </c>
    </row>
    <row r="9" spans="1:2" x14ac:dyDescent="0.3">
      <c r="A9" s="1">
        <v>44869</v>
      </c>
      <c r="B9" s="19" t="e">
        <f t="shared" ref="B9" si="6">(#REF!*#REF!)</f>
        <v>#REF!</v>
      </c>
    </row>
    <row r="10" spans="1:2" x14ac:dyDescent="0.3">
      <c r="A10" s="1">
        <v>44881</v>
      </c>
      <c r="B10" s="19" t="e">
        <f t="shared" ref="B10" si="7">(#REF!*#REF!)</f>
        <v>#REF!</v>
      </c>
    </row>
    <row r="11" spans="1:2" x14ac:dyDescent="0.3">
      <c r="A11" s="1">
        <v>44881</v>
      </c>
      <c r="B11" s="19" t="e">
        <f t="shared" ref="B11" si="8">(#REF!*#REF!)</f>
        <v>#REF!</v>
      </c>
    </row>
    <row r="12" spans="1:2" x14ac:dyDescent="0.3">
      <c r="A12" s="1">
        <v>44881</v>
      </c>
      <c r="B12" s="19" t="e">
        <f t="shared" ref="B12" si="9">(#REF!*#REF!)</f>
        <v>#REF!</v>
      </c>
    </row>
    <row r="13" spans="1:2" x14ac:dyDescent="0.3">
      <c r="A13" s="1">
        <v>44881</v>
      </c>
      <c r="B13" s="19" t="e">
        <f t="shared" ref="B13" si="10">(#REF!*#REF!)</f>
        <v>#REF!</v>
      </c>
    </row>
    <row r="14" spans="1:2" x14ac:dyDescent="0.3">
      <c r="A14" s="1">
        <v>44881</v>
      </c>
      <c r="B14" s="19" t="e">
        <f t="shared" ref="B14" si="11">(#REF!*#REF!)</f>
        <v>#REF!</v>
      </c>
    </row>
    <row r="15" spans="1:2" x14ac:dyDescent="0.3">
      <c r="A15" s="1">
        <v>44883</v>
      </c>
      <c r="B15" s="19" t="e">
        <f t="shared" ref="B15" si="12">(#REF!*#REF!)</f>
        <v>#REF!</v>
      </c>
    </row>
    <row r="16" spans="1:2" x14ac:dyDescent="0.3">
      <c r="A16" s="1">
        <v>44898</v>
      </c>
      <c r="B16" s="19" t="e">
        <f t="shared" ref="B16" si="13">(#REF!*#REF!)</f>
        <v>#REF!</v>
      </c>
    </row>
    <row r="17" spans="1:2" x14ac:dyDescent="0.3">
      <c r="A17" s="1">
        <v>44898</v>
      </c>
      <c r="B17" s="19" t="e">
        <f t="shared" ref="B17" si="14">(#REF!*#REF!)</f>
        <v>#REF!</v>
      </c>
    </row>
    <row r="18" spans="1:2" x14ac:dyDescent="0.3">
      <c r="A18" s="1">
        <v>44898</v>
      </c>
      <c r="B18" s="19" t="e">
        <f t="shared" ref="B18" si="15">(#REF!*#REF!)</f>
        <v>#REF!</v>
      </c>
    </row>
    <row r="19" spans="1:2" x14ac:dyDescent="0.3">
      <c r="A19" s="1">
        <v>44899</v>
      </c>
      <c r="B19" s="19" t="e">
        <f t="shared" ref="B19" si="16">(#REF!*#REF!)</f>
        <v>#REF!</v>
      </c>
    </row>
    <row r="20" spans="1:2" x14ac:dyDescent="0.3">
      <c r="A20" s="1">
        <v>44899</v>
      </c>
      <c r="B20" s="19" t="e">
        <f t="shared" ref="B20" si="17">(#REF!*#REF!)</f>
        <v>#REF!</v>
      </c>
    </row>
    <row r="21" spans="1:2" x14ac:dyDescent="0.3">
      <c r="A21" s="1">
        <v>44899</v>
      </c>
      <c r="B21" s="19" t="e">
        <f t="shared" ref="B21" si="18">(#REF!*#REF!)</f>
        <v>#REF!</v>
      </c>
    </row>
    <row r="22" spans="1:2" x14ac:dyDescent="0.3">
      <c r="A22" s="1">
        <v>44899</v>
      </c>
      <c r="B22" s="19" t="e">
        <f t="shared" ref="B22" si="19">(#REF!*#REF!)</f>
        <v>#REF!</v>
      </c>
    </row>
    <row r="23" spans="1:2" x14ac:dyDescent="0.3">
      <c r="A23" s="1">
        <v>44899</v>
      </c>
      <c r="B23" s="19" t="e">
        <f t="shared" ref="B23" si="20">(#REF!*#REF!)</f>
        <v>#REF!</v>
      </c>
    </row>
    <row r="24" spans="1:2" x14ac:dyDescent="0.3">
      <c r="A24" s="1">
        <v>44899</v>
      </c>
      <c r="B24" s="19" t="e">
        <f t="shared" ref="B24" si="21">(#REF!*#REF!)</f>
        <v>#REF!</v>
      </c>
    </row>
    <row r="25" spans="1:2" x14ac:dyDescent="0.3">
      <c r="A25" s="1">
        <v>44904</v>
      </c>
      <c r="B25" s="19" t="e">
        <f t="shared" ref="B25" si="22">(#REF!*#REF!)</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6D28-F955-44E6-8B2D-0F5D05341BDB}">
  <sheetPr codeName="Sheet32"/>
  <dimension ref="A1"/>
  <sheetViews>
    <sheetView workbookViewId="0">
      <selection activeCell="K9" sqref="K9"/>
    </sheetView>
  </sheetViews>
  <sheetFormatPr defaultRowHeight="14.4" x14ac:dyDescent="0.3"/>
  <cols>
    <col min="1" max="1" width="12.5546875" bestFit="1" customWidth="1"/>
    <col min="2" max="2" width="11.88671875" bestFit="1"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5ECAE-3BEC-4240-8E4E-30A7BD3BE815}">
  <sheetPr codeName="Sheet7"/>
  <dimension ref="A1:Z25"/>
  <sheetViews>
    <sheetView topLeftCell="D1" workbookViewId="0">
      <selection activeCell="H23" sqref="H23"/>
    </sheetView>
  </sheetViews>
  <sheetFormatPr defaultRowHeight="14.4" x14ac:dyDescent="0.3"/>
  <cols>
    <col min="1" max="1" width="13.33203125" bestFit="1" customWidth="1"/>
    <col min="2" max="2" width="11.33203125" bestFit="1" customWidth="1"/>
    <col min="3" max="3" width="16.44140625" bestFit="1" customWidth="1"/>
    <col min="4" max="4" width="13.21875" bestFit="1" customWidth="1"/>
    <col min="5" max="5" width="11.109375" bestFit="1" customWidth="1"/>
    <col min="7" max="7" width="10.5546875" style="4" bestFit="1" customWidth="1"/>
    <col min="8" max="8" width="16.88671875" bestFit="1" customWidth="1"/>
    <col min="9" max="9" width="11.77734375" bestFit="1" customWidth="1"/>
    <col min="10" max="10" width="10.109375" style="11" bestFit="1" customWidth="1"/>
    <col min="11" max="11" width="21.109375" bestFit="1" customWidth="1"/>
    <col min="12" max="12" width="8.77734375" bestFit="1" customWidth="1"/>
    <col min="13" max="13" width="15.44140625" bestFit="1" customWidth="1"/>
    <col min="14" max="14" width="14.33203125" bestFit="1" customWidth="1"/>
    <col min="15" max="15" width="15.44140625" bestFit="1" customWidth="1"/>
    <col min="16" max="16" width="23.21875" bestFit="1" customWidth="1"/>
    <col min="17" max="17" width="10.77734375" style="19" bestFit="1" customWidth="1"/>
    <col min="20" max="21" width="11.33203125" bestFit="1" customWidth="1"/>
    <col min="25" max="25" width="16" bestFit="1" customWidth="1"/>
  </cols>
  <sheetData>
    <row r="1" spans="1:26" x14ac:dyDescent="0.3">
      <c r="A1" s="2" t="s">
        <v>10</v>
      </c>
      <c r="B1" s="9" t="s">
        <v>9</v>
      </c>
      <c r="C1" s="5" t="s">
        <v>11</v>
      </c>
      <c r="D1" s="5" t="s">
        <v>12</v>
      </c>
      <c r="E1" s="5" t="s">
        <v>13</v>
      </c>
      <c r="F1" s="5" t="s">
        <v>14</v>
      </c>
      <c r="G1" s="3" t="s">
        <v>7</v>
      </c>
      <c r="H1" s="5" t="s">
        <v>47</v>
      </c>
      <c r="I1" s="9" t="s">
        <v>15</v>
      </c>
      <c r="J1" s="10" t="s">
        <v>16</v>
      </c>
      <c r="K1" s="5" t="s">
        <v>64</v>
      </c>
      <c r="L1" s="5" t="s">
        <v>60</v>
      </c>
      <c r="M1" s="5" t="s">
        <v>62</v>
      </c>
      <c r="N1" s="5" t="s">
        <v>61</v>
      </c>
      <c r="O1" s="5" t="s">
        <v>63</v>
      </c>
      <c r="P1" s="5" t="s">
        <v>65</v>
      </c>
      <c r="Q1" s="18" t="s">
        <v>157</v>
      </c>
      <c r="T1" s="9" t="s">
        <v>9</v>
      </c>
      <c r="U1" s="9" t="s">
        <v>9</v>
      </c>
      <c r="Y1">
        <v>1</v>
      </c>
      <c r="Z1">
        <v>2</v>
      </c>
    </row>
    <row r="2" spans="1:26" x14ac:dyDescent="0.3">
      <c r="A2" t="s">
        <v>48</v>
      </c>
      <c r="B2" s="1">
        <v>44862</v>
      </c>
      <c r="C2" s="6" t="s">
        <v>77</v>
      </c>
      <c r="D2" s="6" t="s">
        <v>8</v>
      </c>
      <c r="E2" s="6" t="s">
        <v>41</v>
      </c>
      <c r="F2" s="6" t="s">
        <v>78</v>
      </c>
      <c r="G2" s="4">
        <v>10</v>
      </c>
      <c r="H2" s="6" t="s">
        <v>43</v>
      </c>
      <c r="I2" s="1">
        <v>45227</v>
      </c>
      <c r="J2" s="8">
        <v>7000</v>
      </c>
      <c r="K2" t="s">
        <v>52</v>
      </c>
      <c r="L2">
        <v>0</v>
      </c>
      <c r="M2" t="s">
        <v>79</v>
      </c>
      <c r="N2" t="s">
        <v>80</v>
      </c>
      <c r="O2" t="s">
        <v>81</v>
      </c>
      <c r="Q2" s="19">
        <f>(G2*J2)</f>
        <v>70000</v>
      </c>
      <c r="T2" t="s">
        <v>152</v>
      </c>
      <c r="U2" t="s">
        <v>151</v>
      </c>
      <c r="Y2">
        <v>3</v>
      </c>
    </row>
    <row r="3" spans="1:26" x14ac:dyDescent="0.3">
      <c r="A3" t="s">
        <v>55</v>
      </c>
      <c r="B3" s="1">
        <v>44863</v>
      </c>
      <c r="C3" s="6" t="s">
        <v>76</v>
      </c>
      <c r="D3" s="6" t="s">
        <v>44</v>
      </c>
      <c r="E3" s="6" t="s">
        <v>45</v>
      </c>
      <c r="F3" s="6" t="s">
        <v>82</v>
      </c>
      <c r="G3" s="4">
        <v>1</v>
      </c>
      <c r="H3" s="6" t="s">
        <v>46</v>
      </c>
      <c r="I3" s="1">
        <v>44926</v>
      </c>
      <c r="J3" s="8">
        <v>5000</v>
      </c>
      <c r="K3" t="s">
        <v>52</v>
      </c>
      <c r="M3" t="s">
        <v>73</v>
      </c>
      <c r="N3" t="s">
        <v>74</v>
      </c>
      <c r="O3" t="s">
        <v>86</v>
      </c>
      <c r="Q3" s="19">
        <f t="shared" ref="Q3:Q25" si="0">(G3*J3)</f>
        <v>5000</v>
      </c>
    </row>
    <row r="4" spans="1:26" x14ac:dyDescent="0.3">
      <c r="A4" t="s">
        <v>56</v>
      </c>
      <c r="B4" s="1">
        <v>44863</v>
      </c>
      <c r="C4" s="6" t="s">
        <v>83</v>
      </c>
      <c r="D4" s="6" t="s">
        <v>44</v>
      </c>
      <c r="E4" s="6" t="s">
        <v>45</v>
      </c>
      <c r="F4" s="6" t="s">
        <v>84</v>
      </c>
      <c r="G4" s="4">
        <v>6</v>
      </c>
      <c r="H4" s="6" t="s">
        <v>46</v>
      </c>
      <c r="I4" s="1">
        <v>45228</v>
      </c>
      <c r="J4" s="8">
        <v>500</v>
      </c>
      <c r="K4" t="s">
        <v>52</v>
      </c>
      <c r="M4" t="s">
        <v>73</v>
      </c>
      <c r="N4" t="s">
        <v>74</v>
      </c>
      <c r="O4" t="s">
        <v>86</v>
      </c>
      <c r="Q4" s="19">
        <f t="shared" si="0"/>
        <v>3000</v>
      </c>
    </row>
    <row r="5" spans="1:26" x14ac:dyDescent="0.3">
      <c r="A5" t="s">
        <v>58</v>
      </c>
      <c r="B5" s="1">
        <v>44863</v>
      </c>
      <c r="C5" s="6" t="s">
        <v>57</v>
      </c>
      <c r="D5" s="6" t="s">
        <v>44</v>
      </c>
      <c r="E5" s="6" t="s">
        <v>45</v>
      </c>
      <c r="F5" s="6" t="s">
        <v>85</v>
      </c>
      <c r="G5" s="4">
        <v>1</v>
      </c>
      <c r="H5" s="6" t="s">
        <v>46</v>
      </c>
      <c r="I5" s="1">
        <v>45594</v>
      </c>
      <c r="J5" s="8">
        <v>3500</v>
      </c>
      <c r="K5" t="s">
        <v>52</v>
      </c>
      <c r="M5" t="s">
        <v>73</v>
      </c>
      <c r="N5" t="s">
        <v>74</v>
      </c>
      <c r="O5" t="s">
        <v>86</v>
      </c>
      <c r="Q5" s="19">
        <f t="shared" si="0"/>
        <v>3500</v>
      </c>
    </row>
    <row r="6" spans="1:26" x14ac:dyDescent="0.3">
      <c r="A6" t="s">
        <v>55</v>
      </c>
      <c r="B6" s="1">
        <v>44863</v>
      </c>
      <c r="C6" s="6" t="s">
        <v>95</v>
      </c>
      <c r="D6" s="6" t="s">
        <v>3</v>
      </c>
      <c r="E6" s="6" t="s">
        <v>24</v>
      </c>
      <c r="F6" s="6" t="s">
        <v>96</v>
      </c>
      <c r="G6" s="4">
        <v>2</v>
      </c>
      <c r="H6" s="6" t="s">
        <v>43</v>
      </c>
      <c r="I6" s="1">
        <v>45594</v>
      </c>
      <c r="J6" s="8"/>
      <c r="K6" t="s">
        <v>52</v>
      </c>
      <c r="M6" t="s">
        <v>97</v>
      </c>
      <c r="N6" t="s">
        <v>98</v>
      </c>
      <c r="O6" t="s">
        <v>99</v>
      </c>
      <c r="Q6" s="19">
        <f t="shared" si="0"/>
        <v>0</v>
      </c>
    </row>
    <row r="7" spans="1:26" x14ac:dyDescent="0.3">
      <c r="A7" t="s">
        <v>55</v>
      </c>
      <c r="B7" s="1">
        <v>44863</v>
      </c>
      <c r="C7" s="6" t="s">
        <v>95</v>
      </c>
      <c r="D7" s="6" t="s">
        <v>3</v>
      </c>
      <c r="E7" s="6" t="s">
        <v>24</v>
      </c>
      <c r="F7" s="6" t="s">
        <v>96</v>
      </c>
      <c r="G7" s="4">
        <v>4</v>
      </c>
      <c r="H7" s="6" t="s">
        <v>43</v>
      </c>
      <c r="I7" s="1">
        <v>45594</v>
      </c>
      <c r="J7" s="8"/>
      <c r="K7" t="s">
        <v>51</v>
      </c>
      <c r="L7" t="s">
        <v>100</v>
      </c>
      <c r="M7" t="s">
        <v>101</v>
      </c>
      <c r="N7" t="s">
        <v>102</v>
      </c>
      <c r="O7" t="s">
        <v>103</v>
      </c>
      <c r="Q7" s="19">
        <f t="shared" si="0"/>
        <v>0</v>
      </c>
    </row>
    <row r="8" spans="1:26" x14ac:dyDescent="0.3">
      <c r="A8" t="s">
        <v>48</v>
      </c>
      <c r="B8" s="1">
        <v>44863</v>
      </c>
      <c r="C8" s="6" t="s">
        <v>88</v>
      </c>
      <c r="D8" s="6" t="s">
        <v>3</v>
      </c>
      <c r="E8" s="6" t="s">
        <v>24</v>
      </c>
      <c r="F8" s="6" t="s">
        <v>89</v>
      </c>
      <c r="G8" s="4">
        <v>2</v>
      </c>
      <c r="H8" s="6" t="s">
        <v>43</v>
      </c>
      <c r="I8" s="1">
        <v>45959</v>
      </c>
      <c r="J8" s="8">
        <v>7000</v>
      </c>
      <c r="K8" t="s">
        <v>51</v>
      </c>
      <c r="L8" t="s">
        <v>100</v>
      </c>
      <c r="M8" t="s">
        <v>101</v>
      </c>
      <c r="N8" t="s">
        <v>102</v>
      </c>
      <c r="O8" t="s">
        <v>103</v>
      </c>
      <c r="Q8" s="19">
        <f t="shared" si="0"/>
        <v>14000</v>
      </c>
    </row>
    <row r="9" spans="1:26" x14ac:dyDescent="0.3">
      <c r="A9" t="s">
        <v>59</v>
      </c>
      <c r="B9" s="1">
        <v>44869</v>
      </c>
      <c r="C9" s="6" t="s">
        <v>112</v>
      </c>
      <c r="D9" s="6" t="s">
        <v>3</v>
      </c>
      <c r="E9" s="6" t="s">
        <v>24</v>
      </c>
      <c r="F9" s="6" t="s">
        <v>113</v>
      </c>
      <c r="G9" s="4">
        <v>6</v>
      </c>
      <c r="H9" s="6" t="s">
        <v>43</v>
      </c>
      <c r="I9" s="1">
        <v>45594</v>
      </c>
      <c r="J9" s="8">
        <v>6767</v>
      </c>
      <c r="K9" t="s">
        <v>51</v>
      </c>
      <c r="M9" t="s">
        <v>154</v>
      </c>
      <c r="N9" t="s">
        <v>155</v>
      </c>
      <c r="O9" t="s">
        <v>156</v>
      </c>
      <c r="Q9" s="19">
        <f t="shared" si="0"/>
        <v>40602</v>
      </c>
      <c r="S9" s="5"/>
      <c r="T9" s="5"/>
      <c r="U9" s="5"/>
      <c r="V9" s="5"/>
    </row>
    <row r="10" spans="1:26" x14ac:dyDescent="0.3">
      <c r="A10" t="s">
        <v>166</v>
      </c>
      <c r="B10" s="1">
        <v>44881</v>
      </c>
      <c r="C10" s="6" t="s">
        <v>167</v>
      </c>
      <c r="D10" s="6" t="s">
        <v>143</v>
      </c>
      <c r="E10" s="6" t="s">
        <v>144</v>
      </c>
      <c r="F10" s="6" t="s">
        <v>168</v>
      </c>
      <c r="G10" s="4">
        <v>3</v>
      </c>
      <c r="H10" s="6" t="s">
        <v>138</v>
      </c>
      <c r="I10" s="1">
        <v>44909</v>
      </c>
      <c r="J10" s="8">
        <v>500</v>
      </c>
      <c r="K10" t="s">
        <v>51</v>
      </c>
      <c r="M10" t="s">
        <v>169</v>
      </c>
      <c r="N10" t="s">
        <v>170</v>
      </c>
      <c r="O10" t="s">
        <v>171</v>
      </c>
      <c r="P10" t="s">
        <v>172</v>
      </c>
      <c r="Q10" s="19">
        <f t="shared" si="0"/>
        <v>1500</v>
      </c>
    </row>
    <row r="11" spans="1:26" x14ac:dyDescent="0.3">
      <c r="A11" t="s">
        <v>59</v>
      </c>
      <c r="B11" s="1">
        <v>44881</v>
      </c>
      <c r="C11" s="6" t="s">
        <v>112</v>
      </c>
      <c r="D11" s="6" t="s">
        <v>3</v>
      </c>
      <c r="E11" s="6" t="s">
        <v>24</v>
      </c>
      <c r="F11" s="6" t="s">
        <v>113</v>
      </c>
      <c r="G11" s="4">
        <v>3</v>
      </c>
      <c r="H11" s="6" t="s">
        <v>43</v>
      </c>
      <c r="I11" s="1">
        <v>45594</v>
      </c>
      <c r="J11" s="8">
        <v>6767</v>
      </c>
      <c r="K11" t="s">
        <v>51</v>
      </c>
      <c r="L11" t="s">
        <v>177</v>
      </c>
      <c r="M11" t="s">
        <v>178</v>
      </c>
      <c r="O11" t="s">
        <v>179</v>
      </c>
      <c r="P11" t="s">
        <v>180</v>
      </c>
      <c r="Q11" s="19">
        <f t="shared" si="0"/>
        <v>20301</v>
      </c>
    </row>
    <row r="12" spans="1:26" x14ac:dyDescent="0.3">
      <c r="A12" t="s">
        <v>166</v>
      </c>
      <c r="B12" s="1">
        <v>44881</v>
      </c>
      <c r="C12" s="6" t="s">
        <v>167</v>
      </c>
      <c r="D12" s="6" t="s">
        <v>143</v>
      </c>
      <c r="E12" s="6" t="s">
        <v>144</v>
      </c>
      <c r="F12" s="6" t="s">
        <v>168</v>
      </c>
      <c r="G12" s="4">
        <v>3</v>
      </c>
      <c r="H12" s="6" t="s">
        <v>138</v>
      </c>
      <c r="I12" s="1">
        <v>44909</v>
      </c>
      <c r="J12" s="8">
        <v>500</v>
      </c>
      <c r="K12" t="s">
        <v>52</v>
      </c>
      <c r="L12" t="s">
        <v>181</v>
      </c>
      <c r="M12" t="s">
        <v>182</v>
      </c>
      <c r="N12" t="s">
        <v>6</v>
      </c>
      <c r="O12" t="s">
        <v>183</v>
      </c>
      <c r="Q12" s="19">
        <f t="shared" si="0"/>
        <v>1500</v>
      </c>
    </row>
    <row r="13" spans="1:26" x14ac:dyDescent="0.3">
      <c r="A13" t="s">
        <v>119</v>
      </c>
      <c r="B13" s="1">
        <v>44881</v>
      </c>
      <c r="C13" s="6" t="s">
        <v>120</v>
      </c>
      <c r="D13" s="6" t="s">
        <v>8</v>
      </c>
      <c r="E13" s="6" t="s">
        <v>41</v>
      </c>
      <c r="F13" s="6" t="s">
        <v>121</v>
      </c>
      <c r="G13" s="4">
        <v>1</v>
      </c>
      <c r="H13" s="6" t="s">
        <v>43</v>
      </c>
      <c r="I13" s="1">
        <v>45228</v>
      </c>
      <c r="J13" s="8">
        <v>56789</v>
      </c>
      <c r="K13" t="s">
        <v>52</v>
      </c>
      <c r="M13" t="s">
        <v>184</v>
      </c>
      <c r="N13" t="s">
        <v>6</v>
      </c>
      <c r="O13">
        <v>7777778</v>
      </c>
      <c r="Q13" s="19">
        <f t="shared" si="0"/>
        <v>56789</v>
      </c>
    </row>
    <row r="14" spans="1:26" x14ac:dyDescent="0.3">
      <c r="A14" t="s">
        <v>59</v>
      </c>
      <c r="B14" s="1">
        <v>44881</v>
      </c>
      <c r="C14" s="6" t="s">
        <v>112</v>
      </c>
      <c r="D14" s="6" t="s">
        <v>3</v>
      </c>
      <c r="E14" s="6" t="s">
        <v>24</v>
      </c>
      <c r="F14" s="6" t="s">
        <v>113</v>
      </c>
      <c r="G14" s="4">
        <v>1</v>
      </c>
      <c r="H14" s="6" t="s">
        <v>43</v>
      </c>
      <c r="I14" s="1">
        <v>45594</v>
      </c>
      <c r="J14" s="8">
        <v>6767</v>
      </c>
      <c r="K14" t="s">
        <v>53</v>
      </c>
      <c r="M14" t="s">
        <v>185</v>
      </c>
      <c r="N14" t="s">
        <v>130</v>
      </c>
      <c r="O14" t="s">
        <v>186</v>
      </c>
      <c r="Q14" s="19">
        <f t="shared" si="0"/>
        <v>6767</v>
      </c>
    </row>
    <row r="15" spans="1:26" x14ac:dyDescent="0.3">
      <c r="A15" t="s">
        <v>192</v>
      </c>
      <c r="B15" s="1">
        <v>44883</v>
      </c>
      <c r="C15" s="6" t="s">
        <v>193</v>
      </c>
      <c r="D15" s="6" t="s">
        <v>189</v>
      </c>
      <c r="E15" s="6" t="s">
        <v>190</v>
      </c>
      <c r="F15" s="6" t="s">
        <v>194</v>
      </c>
      <c r="G15" s="4">
        <v>10</v>
      </c>
      <c r="H15" s="6" t="s">
        <v>191</v>
      </c>
      <c r="I15" s="1">
        <v>47440</v>
      </c>
      <c r="J15" s="8"/>
      <c r="K15" t="s">
        <v>50</v>
      </c>
      <c r="M15" t="s">
        <v>197</v>
      </c>
      <c r="N15" t="s">
        <v>6</v>
      </c>
      <c r="O15" t="s">
        <v>198</v>
      </c>
      <c r="Q15" s="19">
        <f t="shared" si="0"/>
        <v>0</v>
      </c>
    </row>
    <row r="16" spans="1:26" x14ac:dyDescent="0.3">
      <c r="A16" t="s">
        <v>48</v>
      </c>
      <c r="B16" s="1">
        <v>44898</v>
      </c>
      <c r="C16" s="6" t="s">
        <v>88</v>
      </c>
      <c r="D16" s="6" t="s">
        <v>3</v>
      </c>
      <c r="E16" s="6" t="s">
        <v>24</v>
      </c>
      <c r="F16" s="6" t="s">
        <v>89</v>
      </c>
      <c r="G16" s="4">
        <v>8</v>
      </c>
      <c r="H16" s="6" t="s">
        <v>43</v>
      </c>
      <c r="I16" s="1">
        <v>45959</v>
      </c>
      <c r="J16" s="8">
        <v>7000</v>
      </c>
      <c r="K16" t="s">
        <v>51</v>
      </c>
      <c r="M16" t="s">
        <v>155</v>
      </c>
      <c r="N16" t="s">
        <v>6</v>
      </c>
      <c r="O16" t="s">
        <v>255</v>
      </c>
      <c r="Q16" s="19">
        <f t="shared" si="0"/>
        <v>56000</v>
      </c>
    </row>
    <row r="17" spans="1:17" x14ac:dyDescent="0.3">
      <c r="A17" t="s">
        <v>114</v>
      </c>
      <c r="B17" s="1">
        <v>44898</v>
      </c>
      <c r="C17" s="6" t="s">
        <v>115</v>
      </c>
      <c r="D17" s="6" t="s">
        <v>3</v>
      </c>
      <c r="E17" s="6" t="s">
        <v>24</v>
      </c>
      <c r="F17" s="6" t="s">
        <v>116</v>
      </c>
      <c r="G17" s="4">
        <v>4</v>
      </c>
      <c r="H17" s="6" t="s">
        <v>43</v>
      </c>
      <c r="I17" s="1">
        <v>46689</v>
      </c>
      <c r="J17" s="8">
        <v>5600</v>
      </c>
      <c r="K17" t="s">
        <v>51</v>
      </c>
      <c r="M17" t="s">
        <v>155</v>
      </c>
      <c r="N17" t="s">
        <v>6</v>
      </c>
      <c r="O17" t="s">
        <v>255</v>
      </c>
      <c r="Q17" s="19">
        <f t="shared" si="0"/>
        <v>22400</v>
      </c>
    </row>
    <row r="18" spans="1:17" x14ac:dyDescent="0.3">
      <c r="A18" t="s">
        <v>259</v>
      </c>
      <c r="B18" s="1">
        <v>44898</v>
      </c>
      <c r="C18" s="6" t="s">
        <v>260</v>
      </c>
      <c r="D18" s="6" t="s">
        <v>257</v>
      </c>
      <c r="E18" s="6" t="s">
        <v>258</v>
      </c>
      <c r="F18" s="6"/>
      <c r="G18" s="4">
        <v>6</v>
      </c>
      <c r="H18" s="6" t="s">
        <v>191</v>
      </c>
      <c r="I18" s="1">
        <v>45263</v>
      </c>
      <c r="J18" s="8">
        <v>200</v>
      </c>
      <c r="K18" t="s">
        <v>51</v>
      </c>
      <c r="M18" t="s">
        <v>74</v>
      </c>
      <c r="N18" t="s">
        <v>6</v>
      </c>
      <c r="O18" t="s">
        <v>263</v>
      </c>
      <c r="Q18" s="19">
        <f t="shared" si="0"/>
        <v>1200</v>
      </c>
    </row>
    <row r="19" spans="1:17" x14ac:dyDescent="0.3">
      <c r="A19" t="s">
        <v>273</v>
      </c>
      <c r="B19" s="1">
        <v>44899</v>
      </c>
      <c r="C19" s="6" t="s">
        <v>274</v>
      </c>
      <c r="D19" s="6" t="s">
        <v>135</v>
      </c>
      <c r="E19" s="6" t="s">
        <v>136</v>
      </c>
      <c r="F19" s="6"/>
      <c r="G19" s="4">
        <v>2</v>
      </c>
      <c r="H19" s="6" t="s">
        <v>138</v>
      </c>
      <c r="I19" s="1">
        <v>44926</v>
      </c>
      <c r="J19" s="8">
        <v>600</v>
      </c>
      <c r="K19" t="s">
        <v>51</v>
      </c>
      <c r="M19" t="s">
        <v>155</v>
      </c>
      <c r="N19" t="s">
        <v>6</v>
      </c>
      <c r="O19" t="s">
        <v>281</v>
      </c>
      <c r="Q19" s="19">
        <f t="shared" si="0"/>
        <v>1200</v>
      </c>
    </row>
    <row r="20" spans="1:17" x14ac:dyDescent="0.3">
      <c r="A20" t="s">
        <v>273</v>
      </c>
      <c r="B20" s="1">
        <v>44899</v>
      </c>
      <c r="C20" s="6" t="s">
        <v>274</v>
      </c>
      <c r="D20" s="6" t="s">
        <v>135</v>
      </c>
      <c r="E20" s="6" t="s">
        <v>136</v>
      </c>
      <c r="F20" s="6"/>
      <c r="G20" s="4">
        <v>1</v>
      </c>
      <c r="H20" s="6" t="s">
        <v>138</v>
      </c>
      <c r="I20" s="1">
        <v>44926</v>
      </c>
      <c r="J20" s="8">
        <v>600</v>
      </c>
      <c r="K20" t="s">
        <v>52</v>
      </c>
      <c r="M20" t="s">
        <v>283</v>
      </c>
      <c r="N20" t="s">
        <v>6</v>
      </c>
      <c r="O20" t="s">
        <v>284</v>
      </c>
      <c r="Q20" s="19">
        <f t="shared" si="0"/>
        <v>600</v>
      </c>
    </row>
    <row r="21" spans="1:17" x14ac:dyDescent="0.3">
      <c r="A21" t="s">
        <v>277</v>
      </c>
      <c r="B21" s="1">
        <v>44899</v>
      </c>
      <c r="C21" s="6" t="s">
        <v>278</v>
      </c>
      <c r="D21" s="6" t="s">
        <v>3</v>
      </c>
      <c r="E21" s="6" t="s">
        <v>24</v>
      </c>
      <c r="F21" s="6"/>
      <c r="G21" s="4">
        <v>2</v>
      </c>
      <c r="H21" s="6" t="s">
        <v>43</v>
      </c>
      <c r="I21" s="1">
        <v>44927</v>
      </c>
      <c r="J21" s="8">
        <v>4500</v>
      </c>
      <c r="K21" t="s">
        <v>52</v>
      </c>
      <c r="M21" t="s">
        <v>285</v>
      </c>
      <c r="N21" t="s">
        <v>6</v>
      </c>
      <c r="O21" t="s">
        <v>286</v>
      </c>
      <c r="P21" t="s">
        <v>287</v>
      </c>
      <c r="Q21" s="19">
        <f t="shared" si="0"/>
        <v>9000</v>
      </c>
    </row>
    <row r="22" spans="1:17" x14ac:dyDescent="0.3">
      <c r="A22" t="s">
        <v>114</v>
      </c>
      <c r="B22" s="1">
        <v>44899</v>
      </c>
      <c r="C22" s="6" t="s">
        <v>115</v>
      </c>
      <c r="D22" s="6" t="s">
        <v>3</v>
      </c>
      <c r="E22" s="6" t="s">
        <v>24</v>
      </c>
      <c r="F22" s="6" t="s">
        <v>116</v>
      </c>
      <c r="G22" s="4">
        <v>1</v>
      </c>
      <c r="H22" s="6" t="s">
        <v>43</v>
      </c>
      <c r="I22" s="1">
        <v>46689</v>
      </c>
      <c r="J22" s="8">
        <v>5600</v>
      </c>
      <c r="K22" t="s">
        <v>52</v>
      </c>
      <c r="M22" t="s">
        <v>285</v>
      </c>
      <c r="N22" t="s">
        <v>6</v>
      </c>
      <c r="O22" t="s">
        <v>286</v>
      </c>
      <c r="P22" t="s">
        <v>287</v>
      </c>
      <c r="Q22" s="19">
        <f t="shared" si="0"/>
        <v>5600</v>
      </c>
    </row>
    <row r="23" spans="1:17" x14ac:dyDescent="0.3">
      <c r="A23" t="s">
        <v>265</v>
      </c>
      <c r="B23" s="1">
        <v>44899</v>
      </c>
      <c r="C23" s="6" t="s">
        <v>266</v>
      </c>
      <c r="D23" s="6" t="s">
        <v>257</v>
      </c>
      <c r="E23" s="6" t="s">
        <v>258</v>
      </c>
      <c r="F23" s="6"/>
      <c r="G23" s="4">
        <v>6</v>
      </c>
      <c r="H23" s="6" t="s">
        <v>191</v>
      </c>
      <c r="I23" s="1">
        <v>44922</v>
      </c>
      <c r="J23" s="8">
        <v>600</v>
      </c>
      <c r="K23" t="s">
        <v>52</v>
      </c>
      <c r="M23" t="s">
        <v>74</v>
      </c>
      <c r="N23" t="s">
        <v>6</v>
      </c>
      <c r="O23" t="s">
        <v>290</v>
      </c>
      <c r="Q23" s="19">
        <f t="shared" si="0"/>
        <v>3600</v>
      </c>
    </row>
    <row r="24" spans="1:17" x14ac:dyDescent="0.3">
      <c r="A24" t="s">
        <v>259</v>
      </c>
      <c r="B24" s="1">
        <v>44899</v>
      </c>
      <c r="C24" s="6" t="s">
        <v>260</v>
      </c>
      <c r="D24" s="6" t="s">
        <v>257</v>
      </c>
      <c r="E24" s="6" t="s">
        <v>258</v>
      </c>
      <c r="F24" s="6"/>
      <c r="G24" s="4">
        <v>6</v>
      </c>
      <c r="H24" s="6" t="s">
        <v>191</v>
      </c>
      <c r="I24" s="1">
        <v>45263</v>
      </c>
      <c r="J24" s="8">
        <v>200</v>
      </c>
      <c r="K24" t="s">
        <v>52</v>
      </c>
      <c r="M24" t="s">
        <v>74</v>
      </c>
      <c r="N24" t="s">
        <v>6</v>
      </c>
      <c r="O24" t="s">
        <v>290</v>
      </c>
      <c r="Q24" s="19">
        <f t="shared" si="0"/>
        <v>1200</v>
      </c>
    </row>
    <row r="25" spans="1:17" x14ac:dyDescent="0.3">
      <c r="A25" t="s">
        <v>114</v>
      </c>
      <c r="B25" s="1">
        <v>44904</v>
      </c>
      <c r="C25" s="6" t="s">
        <v>115</v>
      </c>
      <c r="D25" s="6" t="s">
        <v>3</v>
      </c>
      <c r="E25" s="6" t="s">
        <v>24</v>
      </c>
      <c r="F25" s="6" t="s">
        <v>116</v>
      </c>
      <c r="G25" s="4">
        <v>6</v>
      </c>
      <c r="H25" s="6" t="s">
        <v>43</v>
      </c>
      <c r="I25" s="1">
        <v>46689</v>
      </c>
      <c r="J25" s="8">
        <v>5600</v>
      </c>
      <c r="K25" t="s">
        <v>51</v>
      </c>
      <c r="M25" t="s">
        <v>155</v>
      </c>
      <c r="N25" t="s">
        <v>130</v>
      </c>
      <c r="O25" t="s">
        <v>307</v>
      </c>
      <c r="Q25" s="19">
        <f t="shared" si="0"/>
        <v>33600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119DD-E1BD-499C-88C1-AFDACC999B55}">
  <sheetPr codeName="Sheet24"/>
  <dimension ref="A1:U17"/>
  <sheetViews>
    <sheetView topLeftCell="E1" workbookViewId="0">
      <selection activeCell="K7" sqref="K7"/>
    </sheetView>
  </sheetViews>
  <sheetFormatPr defaultRowHeight="14.4" x14ac:dyDescent="0.3"/>
  <cols>
    <col min="1" max="1" width="13.33203125" bestFit="1" customWidth="1"/>
    <col min="2" max="2" width="11.33203125" bestFit="1" customWidth="1"/>
    <col min="3" max="3" width="18.44140625" bestFit="1" customWidth="1"/>
    <col min="4" max="4" width="13.21875" bestFit="1" customWidth="1"/>
    <col min="5" max="5" width="15.109375" bestFit="1" customWidth="1"/>
    <col min="6" max="6" width="11.44140625" bestFit="1" customWidth="1"/>
    <col min="7" max="7" width="9.77734375" bestFit="1" customWidth="1"/>
    <col min="8" max="8" width="16.88671875" bestFit="1" customWidth="1"/>
    <col min="9" max="9" width="11.77734375" bestFit="1" customWidth="1"/>
    <col min="10" max="10" width="10.33203125" bestFit="1" customWidth="1"/>
    <col min="11" max="11" width="21.109375" bestFit="1" customWidth="1"/>
    <col min="12" max="12" width="8.77734375" bestFit="1" customWidth="1"/>
    <col min="13" max="13" width="15.44140625" bestFit="1" customWidth="1"/>
    <col min="14" max="14" width="14.44140625" bestFit="1" customWidth="1"/>
    <col min="16" max="16" width="18.109375" bestFit="1" customWidth="1"/>
    <col min="18" max="18" width="17.44140625" bestFit="1" customWidth="1"/>
    <col min="20" max="20" width="12.21875" bestFit="1" customWidth="1"/>
    <col min="21" max="21" width="12.6640625" bestFit="1" customWidth="1"/>
  </cols>
  <sheetData>
    <row r="1" spans="1:21" x14ac:dyDescent="0.3">
      <c r="A1" s="2" t="s">
        <v>10</v>
      </c>
      <c r="B1" s="9" t="s">
        <v>9</v>
      </c>
      <c r="C1" s="5" t="s">
        <v>11</v>
      </c>
      <c r="D1" s="5" t="s">
        <v>12</v>
      </c>
      <c r="E1" s="5" t="s">
        <v>13</v>
      </c>
      <c r="F1" s="5" t="s">
        <v>14</v>
      </c>
      <c r="G1" s="3" t="s">
        <v>7</v>
      </c>
      <c r="H1" s="5" t="s">
        <v>47</v>
      </c>
      <c r="I1" s="9" t="s">
        <v>15</v>
      </c>
      <c r="J1" s="10" t="s">
        <v>16</v>
      </c>
      <c r="K1" s="5" t="s">
        <v>64</v>
      </c>
      <c r="L1" s="5" t="s">
        <v>60</v>
      </c>
      <c r="M1" s="5" t="s">
        <v>62</v>
      </c>
      <c r="N1" s="5" t="s">
        <v>61</v>
      </c>
      <c r="O1" s="5" t="s">
        <v>63</v>
      </c>
      <c r="P1" s="5" t="s">
        <v>65</v>
      </c>
      <c r="Q1" s="18" t="s">
        <v>157</v>
      </c>
      <c r="R1" t="s">
        <v>19</v>
      </c>
      <c r="T1" t="s">
        <v>9</v>
      </c>
      <c r="U1" t="s">
        <v>9</v>
      </c>
    </row>
    <row r="2" spans="1:21" x14ac:dyDescent="0.3">
      <c r="A2" t="s">
        <v>166</v>
      </c>
      <c r="B2" s="1">
        <v>44881</v>
      </c>
      <c r="C2" s="6" t="s">
        <v>167</v>
      </c>
      <c r="D2" s="6" t="s">
        <v>143</v>
      </c>
      <c r="E2" s="6" t="s">
        <v>144</v>
      </c>
      <c r="F2" s="6" t="s">
        <v>168</v>
      </c>
      <c r="G2" s="4">
        <v>3</v>
      </c>
      <c r="H2" s="6" t="s">
        <v>138</v>
      </c>
      <c r="I2" s="1">
        <v>44909</v>
      </c>
      <c r="J2" s="8">
        <v>500</v>
      </c>
      <c r="K2" t="s">
        <v>51</v>
      </c>
      <c r="M2" t="s">
        <v>169</v>
      </c>
      <c r="N2" t="s">
        <v>170</v>
      </c>
      <c r="O2" t="s">
        <v>171</v>
      </c>
      <c r="P2" t="s">
        <v>172</v>
      </c>
      <c r="Q2" s="19">
        <v>1500</v>
      </c>
      <c r="R2" t="s">
        <v>246</v>
      </c>
      <c r="T2" t="s">
        <v>310</v>
      </c>
      <c r="U2" t="s">
        <v>309</v>
      </c>
    </row>
    <row r="3" spans="1:21" x14ac:dyDescent="0.3">
      <c r="A3" t="s">
        <v>59</v>
      </c>
      <c r="B3" s="1">
        <v>44881</v>
      </c>
      <c r="C3" s="6" t="s">
        <v>112</v>
      </c>
      <c r="D3" s="6" t="s">
        <v>3</v>
      </c>
      <c r="E3" s="6" t="s">
        <v>24</v>
      </c>
      <c r="F3" s="6" t="s">
        <v>113</v>
      </c>
      <c r="G3" s="4">
        <v>3</v>
      </c>
      <c r="H3" s="6" t="s">
        <v>43</v>
      </c>
      <c r="I3" s="1">
        <v>45594</v>
      </c>
      <c r="J3" s="8">
        <v>6767</v>
      </c>
      <c r="K3" t="s">
        <v>51</v>
      </c>
      <c r="L3" t="s">
        <v>177</v>
      </c>
      <c r="M3" t="s">
        <v>178</v>
      </c>
      <c r="O3" t="s">
        <v>179</v>
      </c>
      <c r="P3" t="s">
        <v>180</v>
      </c>
      <c r="Q3" s="19">
        <v>20301</v>
      </c>
      <c r="R3" t="s">
        <v>245</v>
      </c>
    </row>
    <row r="4" spans="1:21" x14ac:dyDescent="0.3">
      <c r="A4" t="s">
        <v>166</v>
      </c>
      <c r="B4" s="1">
        <v>44881</v>
      </c>
      <c r="C4" s="6" t="s">
        <v>167</v>
      </c>
      <c r="D4" s="6" t="s">
        <v>143</v>
      </c>
      <c r="E4" s="6" t="s">
        <v>144</v>
      </c>
      <c r="F4" s="6" t="s">
        <v>168</v>
      </c>
      <c r="G4" s="4">
        <v>3</v>
      </c>
      <c r="H4" s="6" t="s">
        <v>138</v>
      </c>
      <c r="I4" s="1">
        <v>44909</v>
      </c>
      <c r="J4" s="8">
        <v>500</v>
      </c>
      <c r="K4" t="s">
        <v>52</v>
      </c>
      <c r="L4" t="s">
        <v>181</v>
      </c>
      <c r="M4" t="s">
        <v>182</v>
      </c>
      <c r="N4" t="s">
        <v>6</v>
      </c>
      <c r="O4" t="s">
        <v>183</v>
      </c>
      <c r="Q4" s="19">
        <v>1500</v>
      </c>
      <c r="R4" t="s">
        <v>246</v>
      </c>
    </row>
    <row r="5" spans="1:21" x14ac:dyDescent="0.3">
      <c r="A5" t="s">
        <v>119</v>
      </c>
      <c r="B5" s="1">
        <v>44881</v>
      </c>
      <c r="C5" s="6" t="s">
        <v>120</v>
      </c>
      <c r="D5" s="6" t="s">
        <v>8</v>
      </c>
      <c r="E5" s="6" t="s">
        <v>41</v>
      </c>
      <c r="F5" s="6" t="s">
        <v>121</v>
      </c>
      <c r="G5" s="4">
        <v>1</v>
      </c>
      <c r="H5" s="6" t="s">
        <v>43</v>
      </c>
      <c r="I5" s="1">
        <v>45228</v>
      </c>
      <c r="J5" s="8">
        <v>56789</v>
      </c>
      <c r="K5" t="s">
        <v>52</v>
      </c>
      <c r="M5" t="s">
        <v>184</v>
      </c>
      <c r="N5" t="s">
        <v>6</v>
      </c>
      <c r="O5">
        <v>7777778</v>
      </c>
      <c r="Q5" s="19">
        <v>56789</v>
      </c>
      <c r="R5" t="s">
        <v>245</v>
      </c>
    </row>
    <row r="6" spans="1:21" x14ac:dyDescent="0.3">
      <c r="A6" t="s">
        <v>59</v>
      </c>
      <c r="B6" s="1">
        <v>44881</v>
      </c>
      <c r="C6" s="6" t="s">
        <v>112</v>
      </c>
      <c r="D6" s="6" t="s">
        <v>3</v>
      </c>
      <c r="E6" s="6" t="s">
        <v>24</v>
      </c>
      <c r="F6" s="6" t="s">
        <v>113</v>
      </c>
      <c r="G6" s="4">
        <v>1</v>
      </c>
      <c r="H6" s="6" t="s">
        <v>43</v>
      </c>
      <c r="I6" s="1">
        <v>45594</v>
      </c>
      <c r="J6" s="8">
        <v>6767</v>
      </c>
      <c r="K6" t="s">
        <v>53</v>
      </c>
      <c r="M6" t="s">
        <v>185</v>
      </c>
      <c r="N6" t="s">
        <v>130</v>
      </c>
      <c r="O6" t="s">
        <v>186</v>
      </c>
      <c r="Q6" s="19">
        <v>6767</v>
      </c>
      <c r="R6" t="s">
        <v>245</v>
      </c>
    </row>
    <row r="7" spans="1:21" x14ac:dyDescent="0.3">
      <c r="A7" t="s">
        <v>192</v>
      </c>
      <c r="B7" s="1">
        <v>44883</v>
      </c>
      <c r="C7" s="6" t="s">
        <v>193</v>
      </c>
      <c r="D7" s="6" t="s">
        <v>189</v>
      </c>
      <c r="E7" s="6" t="s">
        <v>190</v>
      </c>
      <c r="F7" s="6" t="s">
        <v>194</v>
      </c>
      <c r="G7" s="4">
        <v>10</v>
      </c>
      <c r="H7" s="6" t="s">
        <v>191</v>
      </c>
      <c r="I7" s="1">
        <v>47440</v>
      </c>
      <c r="J7" s="8"/>
      <c r="K7" t="s">
        <v>50</v>
      </c>
      <c r="M7" t="s">
        <v>197</v>
      </c>
      <c r="N7" t="s">
        <v>6</v>
      </c>
      <c r="O7" t="s">
        <v>198</v>
      </c>
      <c r="Q7" s="19">
        <v>0</v>
      </c>
      <c r="R7" t="s">
        <v>247</v>
      </c>
    </row>
    <row r="8" spans="1:21" x14ac:dyDescent="0.3">
      <c r="A8" t="s">
        <v>48</v>
      </c>
      <c r="B8" s="1">
        <v>44898</v>
      </c>
      <c r="C8" s="6" t="s">
        <v>88</v>
      </c>
      <c r="D8" s="6" t="s">
        <v>3</v>
      </c>
      <c r="E8" s="6" t="s">
        <v>24</v>
      </c>
      <c r="F8" s="6" t="s">
        <v>89</v>
      </c>
      <c r="G8" s="4">
        <v>8</v>
      </c>
      <c r="H8" s="6" t="s">
        <v>43</v>
      </c>
      <c r="I8" s="1">
        <v>45959</v>
      </c>
      <c r="J8" s="8">
        <v>7000</v>
      </c>
      <c r="K8" t="s">
        <v>51</v>
      </c>
      <c r="M8" t="s">
        <v>155</v>
      </c>
      <c r="N8" t="s">
        <v>6</v>
      </c>
      <c r="O8" t="s">
        <v>255</v>
      </c>
      <c r="Q8" s="19">
        <v>56000</v>
      </c>
      <c r="R8" t="s">
        <v>245</v>
      </c>
    </row>
    <row r="9" spans="1:21" x14ac:dyDescent="0.3">
      <c r="A9" t="s">
        <v>114</v>
      </c>
      <c r="B9" s="1">
        <v>44898</v>
      </c>
      <c r="C9" s="6" t="s">
        <v>115</v>
      </c>
      <c r="D9" s="6" t="s">
        <v>3</v>
      </c>
      <c r="E9" s="6" t="s">
        <v>24</v>
      </c>
      <c r="F9" s="6" t="s">
        <v>116</v>
      </c>
      <c r="G9" s="4">
        <v>4</v>
      </c>
      <c r="H9" s="6" t="s">
        <v>43</v>
      </c>
      <c r="I9" s="1">
        <v>46689</v>
      </c>
      <c r="J9" s="8">
        <v>5600</v>
      </c>
      <c r="K9" t="s">
        <v>51</v>
      </c>
      <c r="M9" t="s">
        <v>155</v>
      </c>
      <c r="N9" t="s">
        <v>6</v>
      </c>
      <c r="O9" t="s">
        <v>255</v>
      </c>
      <c r="Q9" s="19">
        <v>22400</v>
      </c>
      <c r="R9" t="s">
        <v>245</v>
      </c>
    </row>
    <row r="10" spans="1:21" x14ac:dyDescent="0.3">
      <c r="A10" t="s">
        <v>259</v>
      </c>
      <c r="B10" s="1">
        <v>44898</v>
      </c>
      <c r="C10" s="6" t="s">
        <v>260</v>
      </c>
      <c r="D10" s="6" t="s">
        <v>257</v>
      </c>
      <c r="E10" s="6" t="s">
        <v>258</v>
      </c>
      <c r="F10" s="6"/>
      <c r="G10" s="4">
        <v>6</v>
      </c>
      <c r="H10" s="6" t="s">
        <v>191</v>
      </c>
      <c r="I10" s="1">
        <v>45263</v>
      </c>
      <c r="J10" s="8">
        <v>200</v>
      </c>
      <c r="K10" t="s">
        <v>51</v>
      </c>
      <c r="M10" t="s">
        <v>74</v>
      </c>
      <c r="N10" t="s">
        <v>6</v>
      </c>
      <c r="O10" t="s">
        <v>263</v>
      </c>
      <c r="Q10" s="19">
        <v>1200</v>
      </c>
      <c r="R10" t="s">
        <v>264</v>
      </c>
    </row>
    <row r="11" spans="1:21" x14ac:dyDescent="0.3">
      <c r="A11" t="s">
        <v>273</v>
      </c>
      <c r="B11" s="1">
        <v>44899</v>
      </c>
      <c r="C11" s="6" t="s">
        <v>274</v>
      </c>
      <c r="D11" s="6" t="s">
        <v>135</v>
      </c>
      <c r="E11" s="6" t="s">
        <v>136</v>
      </c>
      <c r="F11" s="6"/>
      <c r="G11" s="4">
        <v>2</v>
      </c>
      <c r="H11" s="6" t="s">
        <v>138</v>
      </c>
      <c r="I11" s="1">
        <v>44926</v>
      </c>
      <c r="J11" s="8">
        <v>600</v>
      </c>
      <c r="K11" t="s">
        <v>51</v>
      </c>
      <c r="M11" t="s">
        <v>155</v>
      </c>
      <c r="N11" t="s">
        <v>6</v>
      </c>
      <c r="O11" t="s">
        <v>281</v>
      </c>
      <c r="Q11" s="19">
        <v>1200</v>
      </c>
      <c r="R11" t="s">
        <v>282</v>
      </c>
    </row>
    <row r="12" spans="1:21" x14ac:dyDescent="0.3">
      <c r="A12" t="s">
        <v>273</v>
      </c>
      <c r="B12" s="1">
        <v>44899</v>
      </c>
      <c r="C12" s="6" t="s">
        <v>274</v>
      </c>
      <c r="D12" s="6" t="s">
        <v>135</v>
      </c>
      <c r="E12" s="6" t="s">
        <v>136</v>
      </c>
      <c r="F12" s="6"/>
      <c r="G12" s="4">
        <v>1</v>
      </c>
      <c r="H12" s="6" t="s">
        <v>138</v>
      </c>
      <c r="I12" s="1">
        <v>44926</v>
      </c>
      <c r="J12" s="8">
        <v>600</v>
      </c>
      <c r="K12" t="s">
        <v>52</v>
      </c>
      <c r="M12" t="s">
        <v>283</v>
      </c>
      <c r="N12" t="s">
        <v>6</v>
      </c>
      <c r="O12" t="s">
        <v>284</v>
      </c>
      <c r="Q12" s="19">
        <v>600</v>
      </c>
      <c r="R12" t="s">
        <v>282</v>
      </c>
    </row>
    <row r="13" spans="1:21" x14ac:dyDescent="0.3">
      <c r="A13" t="s">
        <v>277</v>
      </c>
      <c r="B13" s="1">
        <v>44899</v>
      </c>
      <c r="C13" s="6" t="s">
        <v>278</v>
      </c>
      <c r="D13" s="6" t="s">
        <v>3</v>
      </c>
      <c r="E13" s="6" t="s">
        <v>24</v>
      </c>
      <c r="F13" s="6"/>
      <c r="G13" s="4">
        <v>2</v>
      </c>
      <c r="H13" s="6" t="s">
        <v>43</v>
      </c>
      <c r="I13" s="1">
        <v>44927</v>
      </c>
      <c r="J13" s="8">
        <v>4500</v>
      </c>
      <c r="K13" t="s">
        <v>52</v>
      </c>
      <c r="M13" t="s">
        <v>285</v>
      </c>
      <c r="N13" t="s">
        <v>6</v>
      </c>
      <c r="O13" t="s">
        <v>286</v>
      </c>
      <c r="P13" t="s">
        <v>287</v>
      </c>
      <c r="Q13" s="19">
        <v>9000</v>
      </c>
      <c r="R13" t="s">
        <v>245</v>
      </c>
    </row>
    <row r="14" spans="1:21" x14ac:dyDescent="0.3">
      <c r="A14" t="s">
        <v>114</v>
      </c>
      <c r="B14" s="1">
        <v>44899</v>
      </c>
      <c r="C14" s="6" t="s">
        <v>115</v>
      </c>
      <c r="D14" s="6" t="s">
        <v>3</v>
      </c>
      <c r="E14" s="6" t="s">
        <v>24</v>
      </c>
      <c r="F14" s="6" t="s">
        <v>116</v>
      </c>
      <c r="G14" s="4">
        <v>1</v>
      </c>
      <c r="H14" s="6" t="s">
        <v>43</v>
      </c>
      <c r="I14" s="1">
        <v>46689</v>
      </c>
      <c r="J14" s="8">
        <v>5600</v>
      </c>
      <c r="K14" t="s">
        <v>52</v>
      </c>
      <c r="M14" t="s">
        <v>285</v>
      </c>
      <c r="N14" t="s">
        <v>6</v>
      </c>
      <c r="O14" t="s">
        <v>286</v>
      </c>
      <c r="P14" t="s">
        <v>287</v>
      </c>
      <c r="Q14" s="19">
        <v>5600</v>
      </c>
      <c r="R14" t="s">
        <v>245</v>
      </c>
    </row>
    <row r="15" spans="1:21" x14ac:dyDescent="0.3">
      <c r="A15" t="s">
        <v>265</v>
      </c>
      <c r="B15" s="1">
        <v>44899</v>
      </c>
      <c r="C15" s="6" t="s">
        <v>266</v>
      </c>
      <c r="D15" s="6" t="s">
        <v>257</v>
      </c>
      <c r="E15" s="6" t="s">
        <v>258</v>
      </c>
      <c r="F15" s="6"/>
      <c r="G15" s="4">
        <v>6</v>
      </c>
      <c r="H15" s="6" t="s">
        <v>191</v>
      </c>
      <c r="I15" s="1">
        <v>44922</v>
      </c>
      <c r="J15" s="8">
        <v>600</v>
      </c>
      <c r="K15" t="s">
        <v>52</v>
      </c>
      <c r="M15" t="s">
        <v>74</v>
      </c>
      <c r="N15" t="s">
        <v>6</v>
      </c>
      <c r="O15" t="s">
        <v>290</v>
      </c>
      <c r="Q15" s="19">
        <v>3600</v>
      </c>
      <c r="R15" t="s">
        <v>264</v>
      </c>
    </row>
    <row r="16" spans="1:21" x14ac:dyDescent="0.3">
      <c r="A16" t="s">
        <v>259</v>
      </c>
      <c r="B16" s="1">
        <v>44899</v>
      </c>
      <c r="C16" s="6" t="s">
        <v>260</v>
      </c>
      <c r="D16" s="6" t="s">
        <v>257</v>
      </c>
      <c r="E16" s="6" t="s">
        <v>258</v>
      </c>
      <c r="F16" s="6"/>
      <c r="G16" s="4">
        <v>6</v>
      </c>
      <c r="H16" s="6" t="s">
        <v>191</v>
      </c>
      <c r="I16" s="1">
        <v>45263</v>
      </c>
      <c r="J16" s="8">
        <v>200</v>
      </c>
      <c r="K16" t="s">
        <v>52</v>
      </c>
      <c r="M16" t="s">
        <v>74</v>
      </c>
      <c r="N16" t="s">
        <v>6</v>
      </c>
      <c r="O16" t="s">
        <v>290</v>
      </c>
      <c r="Q16" s="19">
        <v>1200</v>
      </c>
      <c r="R16" t="s">
        <v>264</v>
      </c>
    </row>
    <row r="17" spans="1:18" x14ac:dyDescent="0.3">
      <c r="A17" t="s">
        <v>114</v>
      </c>
      <c r="B17" s="1">
        <v>44904</v>
      </c>
      <c r="C17" s="6" t="s">
        <v>115</v>
      </c>
      <c r="D17" s="6" t="s">
        <v>3</v>
      </c>
      <c r="E17" s="6" t="s">
        <v>24</v>
      </c>
      <c r="F17" s="6" t="s">
        <v>116</v>
      </c>
      <c r="G17" s="4">
        <v>6</v>
      </c>
      <c r="H17" s="6" t="s">
        <v>43</v>
      </c>
      <c r="I17" s="1">
        <v>46689</v>
      </c>
      <c r="J17" s="8">
        <v>5600</v>
      </c>
      <c r="K17" t="s">
        <v>51</v>
      </c>
      <c r="M17" t="s">
        <v>155</v>
      </c>
      <c r="N17" t="s">
        <v>130</v>
      </c>
      <c r="O17" t="s">
        <v>307</v>
      </c>
      <c r="Q17" s="19">
        <v>33600</v>
      </c>
      <c r="R17" t="s">
        <v>245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D2999-7922-4D77-B712-ABD15DE629E4}">
  <sheetPr codeName="Sheet41"/>
  <dimension ref="A1:U25"/>
  <sheetViews>
    <sheetView topLeftCell="C3" workbookViewId="0">
      <selection activeCell="Q2" sqref="Q2"/>
    </sheetView>
  </sheetViews>
  <sheetFormatPr defaultRowHeight="14.4" x14ac:dyDescent="0.3"/>
  <cols>
    <col min="1" max="1" width="9.77734375" bestFit="1" customWidth="1"/>
    <col min="2" max="2" width="16.88671875" bestFit="1" customWidth="1"/>
    <col min="3" max="3" width="16.44140625" bestFit="1" customWidth="1"/>
    <col min="4" max="4" width="13.21875" bestFit="1" customWidth="1"/>
    <col min="5" max="5" width="7.5546875" bestFit="1" customWidth="1"/>
    <col min="6" max="6" width="8.77734375" bestFit="1" customWidth="1"/>
    <col min="7" max="7" width="15.44140625" bestFit="1" customWidth="1"/>
    <col min="8" max="8" width="14.33203125" bestFit="1" customWidth="1"/>
    <col min="9" max="9" width="11.5546875" bestFit="1" customWidth="1"/>
    <col min="10" max="10" width="10.33203125" bestFit="1" customWidth="1"/>
    <col min="11" max="11" width="21.109375" bestFit="1" customWidth="1"/>
    <col min="14" max="15" width="11.33203125" bestFit="1" customWidth="1"/>
    <col min="16" max="16" width="18.109375" bestFit="1" customWidth="1"/>
    <col min="17" max="17" width="8.21875" bestFit="1" customWidth="1"/>
    <col min="20" max="20" width="12" bestFit="1" customWidth="1"/>
    <col min="21" max="21" width="13.77734375" bestFit="1" customWidth="1"/>
  </cols>
  <sheetData>
    <row r="1" spans="1:21" x14ac:dyDescent="0.3">
      <c r="A1" s="2" t="s">
        <v>10</v>
      </c>
      <c r="B1" s="9" t="s">
        <v>9</v>
      </c>
      <c r="C1" s="5" t="s">
        <v>11</v>
      </c>
      <c r="D1" s="5" t="s">
        <v>12</v>
      </c>
      <c r="E1" s="5" t="s">
        <v>13</v>
      </c>
      <c r="F1" s="5" t="s">
        <v>14</v>
      </c>
      <c r="G1" s="3" t="s">
        <v>7</v>
      </c>
      <c r="H1" s="5" t="s">
        <v>47</v>
      </c>
      <c r="I1" s="9" t="s">
        <v>15</v>
      </c>
      <c r="J1" s="10" t="s">
        <v>16</v>
      </c>
      <c r="K1" s="5" t="s">
        <v>64</v>
      </c>
      <c r="L1" s="5" t="s">
        <v>60</v>
      </c>
      <c r="M1" s="5" t="s">
        <v>62</v>
      </c>
      <c r="N1" s="5" t="s">
        <v>61</v>
      </c>
      <c r="O1" s="5" t="s">
        <v>63</v>
      </c>
      <c r="P1" s="5" t="s">
        <v>65</v>
      </c>
      <c r="Q1" s="18" t="s">
        <v>157</v>
      </c>
      <c r="T1" t="s">
        <v>9</v>
      </c>
      <c r="U1" t="s">
        <v>9</v>
      </c>
    </row>
    <row r="2" spans="1:21" x14ac:dyDescent="0.3">
      <c r="A2" t="s">
        <v>48</v>
      </c>
      <c r="B2" s="1">
        <v>44862</v>
      </c>
      <c r="C2" s="6" t="s">
        <v>77</v>
      </c>
      <c r="D2" s="6" t="s">
        <v>8</v>
      </c>
      <c r="E2" s="6" t="s">
        <v>41</v>
      </c>
      <c r="F2" s="6" t="s">
        <v>78</v>
      </c>
      <c r="G2" s="4">
        <v>10</v>
      </c>
      <c r="H2" s="6" t="s">
        <v>43</v>
      </c>
      <c r="I2" s="1">
        <v>45227</v>
      </c>
      <c r="J2" s="8">
        <v>7000</v>
      </c>
      <c r="K2" t="s">
        <v>52</v>
      </c>
      <c r="L2">
        <v>0</v>
      </c>
      <c r="M2" t="s">
        <v>79</v>
      </c>
      <c r="N2" t="s">
        <v>80</v>
      </c>
      <c r="O2" t="s">
        <v>81</v>
      </c>
      <c r="Q2" s="19">
        <f>(G2*J2)</f>
        <v>70000</v>
      </c>
      <c r="T2" t="s">
        <v>244</v>
      </c>
      <c r="U2" t="s">
        <v>309</v>
      </c>
    </row>
    <row r="3" spans="1:21" x14ac:dyDescent="0.3">
      <c r="A3" t="s">
        <v>55</v>
      </c>
      <c r="B3" s="1">
        <v>44863</v>
      </c>
      <c r="C3" s="6" t="s">
        <v>76</v>
      </c>
      <c r="D3" s="6" t="s">
        <v>44</v>
      </c>
      <c r="E3" s="6" t="s">
        <v>45</v>
      </c>
      <c r="F3" s="6" t="s">
        <v>82</v>
      </c>
      <c r="G3" s="4">
        <v>1</v>
      </c>
      <c r="H3" s="6" t="s">
        <v>46</v>
      </c>
      <c r="I3" s="1">
        <v>44926</v>
      </c>
      <c r="J3" s="8">
        <v>5000</v>
      </c>
      <c r="K3" t="s">
        <v>52</v>
      </c>
      <c r="M3" t="s">
        <v>73</v>
      </c>
      <c r="N3" t="s">
        <v>74</v>
      </c>
      <c r="O3" t="s">
        <v>86</v>
      </c>
      <c r="Q3" s="19">
        <f t="shared" ref="Q3:Q25" si="0">(G3*J3)</f>
        <v>5000</v>
      </c>
    </row>
    <row r="4" spans="1:21" x14ac:dyDescent="0.3">
      <c r="A4" t="s">
        <v>56</v>
      </c>
      <c r="B4" s="1">
        <v>44863</v>
      </c>
      <c r="C4" s="6" t="s">
        <v>83</v>
      </c>
      <c r="D4" s="6" t="s">
        <v>44</v>
      </c>
      <c r="E4" s="6" t="s">
        <v>45</v>
      </c>
      <c r="F4" s="6" t="s">
        <v>84</v>
      </c>
      <c r="G4" s="4">
        <v>6</v>
      </c>
      <c r="H4" s="6" t="s">
        <v>46</v>
      </c>
      <c r="I4" s="1">
        <v>45228</v>
      </c>
      <c r="J4" s="8">
        <v>500</v>
      </c>
      <c r="K4" t="s">
        <v>52</v>
      </c>
      <c r="M4" t="s">
        <v>73</v>
      </c>
      <c r="N4" t="s">
        <v>74</v>
      </c>
      <c r="O4" t="s">
        <v>86</v>
      </c>
      <c r="Q4" s="19">
        <f t="shared" si="0"/>
        <v>3000</v>
      </c>
    </row>
    <row r="5" spans="1:21" x14ac:dyDescent="0.3">
      <c r="A5" t="s">
        <v>58</v>
      </c>
      <c r="B5" s="1">
        <v>44863</v>
      </c>
      <c r="C5" s="6" t="s">
        <v>57</v>
      </c>
      <c r="D5" s="6" t="s">
        <v>44</v>
      </c>
      <c r="E5" s="6" t="s">
        <v>45</v>
      </c>
      <c r="F5" s="6" t="s">
        <v>85</v>
      </c>
      <c r="G5" s="4">
        <v>1</v>
      </c>
      <c r="H5" s="6" t="s">
        <v>46</v>
      </c>
      <c r="I5" s="1">
        <v>45594</v>
      </c>
      <c r="J5" s="8">
        <v>3500</v>
      </c>
      <c r="K5" t="s">
        <v>52</v>
      </c>
      <c r="M5" t="s">
        <v>73</v>
      </c>
      <c r="N5" t="s">
        <v>74</v>
      </c>
      <c r="O5" t="s">
        <v>86</v>
      </c>
      <c r="Q5" s="19">
        <f t="shared" si="0"/>
        <v>3500</v>
      </c>
    </row>
    <row r="6" spans="1:21" x14ac:dyDescent="0.3">
      <c r="A6" t="s">
        <v>55</v>
      </c>
      <c r="B6" s="1">
        <v>44863</v>
      </c>
      <c r="C6" s="6" t="s">
        <v>95</v>
      </c>
      <c r="D6" s="6" t="s">
        <v>3</v>
      </c>
      <c r="E6" s="6" t="s">
        <v>24</v>
      </c>
      <c r="F6" s="6" t="s">
        <v>96</v>
      </c>
      <c r="G6" s="4">
        <v>2</v>
      </c>
      <c r="H6" s="6" t="s">
        <v>43</v>
      </c>
      <c r="I6" s="1">
        <v>45594</v>
      </c>
      <c r="J6" s="8"/>
      <c r="K6" t="s">
        <v>52</v>
      </c>
      <c r="M6" t="s">
        <v>97</v>
      </c>
      <c r="N6" t="s">
        <v>98</v>
      </c>
      <c r="O6" t="s">
        <v>99</v>
      </c>
      <c r="Q6" s="19">
        <f t="shared" si="0"/>
        <v>0</v>
      </c>
    </row>
    <row r="7" spans="1:21" x14ac:dyDescent="0.3">
      <c r="A7" t="s">
        <v>55</v>
      </c>
      <c r="B7" s="1">
        <v>44863</v>
      </c>
      <c r="C7" s="6" t="s">
        <v>95</v>
      </c>
      <c r="D7" s="6" t="s">
        <v>3</v>
      </c>
      <c r="E7" s="6" t="s">
        <v>24</v>
      </c>
      <c r="F7" s="6" t="s">
        <v>96</v>
      </c>
      <c r="G7" s="4">
        <v>4</v>
      </c>
      <c r="H7" s="6" t="s">
        <v>43</v>
      </c>
      <c r="I7" s="1">
        <v>45594</v>
      </c>
      <c r="J7" s="8"/>
      <c r="K7" t="s">
        <v>51</v>
      </c>
      <c r="L7" t="s">
        <v>100</v>
      </c>
      <c r="M7" t="s">
        <v>101</v>
      </c>
      <c r="N7" t="s">
        <v>102</v>
      </c>
      <c r="O7" t="s">
        <v>103</v>
      </c>
      <c r="Q7" s="19">
        <f t="shared" si="0"/>
        <v>0</v>
      </c>
    </row>
    <row r="8" spans="1:21" x14ac:dyDescent="0.3">
      <c r="A8" t="s">
        <v>48</v>
      </c>
      <c r="B8" s="1">
        <v>44863</v>
      </c>
      <c r="C8" s="6" t="s">
        <v>88</v>
      </c>
      <c r="D8" s="6" t="s">
        <v>3</v>
      </c>
      <c r="E8" s="6" t="s">
        <v>24</v>
      </c>
      <c r="F8" s="6" t="s">
        <v>89</v>
      </c>
      <c r="G8" s="4">
        <v>2</v>
      </c>
      <c r="H8" s="6" t="s">
        <v>43</v>
      </c>
      <c r="I8" s="1">
        <v>45959</v>
      </c>
      <c r="J8" s="8">
        <v>7000</v>
      </c>
      <c r="K8" t="s">
        <v>51</v>
      </c>
      <c r="L8" t="s">
        <v>100</v>
      </c>
      <c r="M8" t="s">
        <v>101</v>
      </c>
      <c r="N8" t="s">
        <v>102</v>
      </c>
      <c r="O8" t="s">
        <v>103</v>
      </c>
      <c r="Q8" s="19">
        <f t="shared" si="0"/>
        <v>14000</v>
      </c>
    </row>
    <row r="9" spans="1:21" x14ac:dyDescent="0.3">
      <c r="A9" t="s">
        <v>59</v>
      </c>
      <c r="B9" s="1">
        <v>44869</v>
      </c>
      <c r="C9" s="6" t="s">
        <v>112</v>
      </c>
      <c r="D9" s="6" t="s">
        <v>3</v>
      </c>
      <c r="E9" s="6" t="s">
        <v>24</v>
      </c>
      <c r="F9" s="6" t="s">
        <v>113</v>
      </c>
      <c r="G9" s="4">
        <v>6</v>
      </c>
      <c r="H9" s="6" t="s">
        <v>43</v>
      </c>
      <c r="I9" s="1">
        <v>45594</v>
      </c>
      <c r="J9" s="8">
        <v>6767</v>
      </c>
      <c r="K9" t="s">
        <v>51</v>
      </c>
      <c r="M9" t="s">
        <v>154</v>
      </c>
      <c r="N9" t="s">
        <v>155</v>
      </c>
      <c r="O9" t="s">
        <v>156</v>
      </c>
      <c r="Q9" s="19">
        <f t="shared" si="0"/>
        <v>40602</v>
      </c>
    </row>
    <row r="10" spans="1:21" x14ac:dyDescent="0.3">
      <c r="A10" t="s">
        <v>166</v>
      </c>
      <c r="B10" s="1">
        <v>44881</v>
      </c>
      <c r="C10" s="6" t="s">
        <v>167</v>
      </c>
      <c r="D10" s="6" t="s">
        <v>143</v>
      </c>
      <c r="E10" s="6" t="s">
        <v>144</v>
      </c>
      <c r="F10" s="6" t="s">
        <v>168</v>
      </c>
      <c r="G10" s="4">
        <v>3</v>
      </c>
      <c r="H10" s="6" t="s">
        <v>138</v>
      </c>
      <c r="I10" s="1">
        <v>44909</v>
      </c>
      <c r="J10" s="8">
        <v>500</v>
      </c>
      <c r="K10" t="s">
        <v>51</v>
      </c>
      <c r="M10" t="s">
        <v>169</v>
      </c>
      <c r="N10" t="s">
        <v>170</v>
      </c>
      <c r="O10" t="s">
        <v>171</v>
      </c>
      <c r="P10" t="s">
        <v>172</v>
      </c>
      <c r="Q10" s="19">
        <f t="shared" si="0"/>
        <v>1500</v>
      </c>
    </row>
    <row r="11" spans="1:21" x14ac:dyDescent="0.3">
      <c r="A11" t="s">
        <v>59</v>
      </c>
      <c r="B11" s="1">
        <v>44881</v>
      </c>
      <c r="C11" s="6" t="s">
        <v>112</v>
      </c>
      <c r="D11" s="6" t="s">
        <v>3</v>
      </c>
      <c r="E11" s="6" t="s">
        <v>24</v>
      </c>
      <c r="F11" s="6" t="s">
        <v>113</v>
      </c>
      <c r="G11" s="4">
        <v>3</v>
      </c>
      <c r="H11" s="6" t="s">
        <v>43</v>
      </c>
      <c r="I11" s="1">
        <v>45594</v>
      </c>
      <c r="J11" s="8">
        <v>6767</v>
      </c>
      <c r="K11" t="s">
        <v>51</v>
      </c>
      <c r="L11" t="s">
        <v>177</v>
      </c>
      <c r="M11" t="s">
        <v>178</v>
      </c>
      <c r="O11" t="s">
        <v>179</v>
      </c>
      <c r="P11" t="s">
        <v>180</v>
      </c>
      <c r="Q11" s="19">
        <f t="shared" si="0"/>
        <v>20301</v>
      </c>
    </row>
    <row r="12" spans="1:21" x14ac:dyDescent="0.3">
      <c r="A12" t="s">
        <v>166</v>
      </c>
      <c r="B12" s="1">
        <v>44881</v>
      </c>
      <c r="C12" s="6" t="s">
        <v>167</v>
      </c>
      <c r="D12" s="6" t="s">
        <v>143</v>
      </c>
      <c r="E12" s="6" t="s">
        <v>144</v>
      </c>
      <c r="F12" s="6" t="s">
        <v>168</v>
      </c>
      <c r="G12" s="4">
        <v>3</v>
      </c>
      <c r="H12" s="6" t="s">
        <v>138</v>
      </c>
      <c r="I12" s="1">
        <v>44909</v>
      </c>
      <c r="J12" s="8">
        <v>500</v>
      </c>
      <c r="K12" t="s">
        <v>52</v>
      </c>
      <c r="L12" t="s">
        <v>181</v>
      </c>
      <c r="M12" t="s">
        <v>182</v>
      </c>
      <c r="N12" t="s">
        <v>6</v>
      </c>
      <c r="O12" t="s">
        <v>183</v>
      </c>
      <c r="Q12" s="19">
        <f t="shared" si="0"/>
        <v>1500</v>
      </c>
    </row>
    <row r="13" spans="1:21" x14ac:dyDescent="0.3">
      <c r="A13" t="s">
        <v>119</v>
      </c>
      <c r="B13" s="1">
        <v>44881</v>
      </c>
      <c r="C13" s="6" t="s">
        <v>120</v>
      </c>
      <c r="D13" s="6" t="s">
        <v>8</v>
      </c>
      <c r="E13" s="6" t="s">
        <v>41</v>
      </c>
      <c r="F13" s="6" t="s">
        <v>121</v>
      </c>
      <c r="G13" s="4">
        <v>1</v>
      </c>
      <c r="H13" s="6" t="s">
        <v>43</v>
      </c>
      <c r="I13" s="1">
        <v>45228</v>
      </c>
      <c r="J13" s="8">
        <v>56789</v>
      </c>
      <c r="K13" t="s">
        <v>52</v>
      </c>
      <c r="M13" t="s">
        <v>184</v>
      </c>
      <c r="N13" t="s">
        <v>6</v>
      </c>
      <c r="O13">
        <v>7777778</v>
      </c>
      <c r="Q13" s="19">
        <f t="shared" si="0"/>
        <v>56789</v>
      </c>
    </row>
    <row r="14" spans="1:21" x14ac:dyDescent="0.3">
      <c r="A14" t="s">
        <v>59</v>
      </c>
      <c r="B14" s="1">
        <v>44881</v>
      </c>
      <c r="C14" s="6" t="s">
        <v>112</v>
      </c>
      <c r="D14" s="6" t="s">
        <v>3</v>
      </c>
      <c r="E14" s="6" t="s">
        <v>24</v>
      </c>
      <c r="F14" s="6" t="s">
        <v>113</v>
      </c>
      <c r="G14" s="4">
        <v>1</v>
      </c>
      <c r="H14" s="6" t="s">
        <v>43</v>
      </c>
      <c r="I14" s="1">
        <v>45594</v>
      </c>
      <c r="J14" s="8">
        <v>6767</v>
      </c>
      <c r="K14" t="s">
        <v>53</v>
      </c>
      <c r="M14" t="s">
        <v>185</v>
      </c>
      <c r="N14" t="s">
        <v>130</v>
      </c>
      <c r="O14" t="s">
        <v>186</v>
      </c>
      <c r="Q14" s="19">
        <f t="shared" si="0"/>
        <v>6767</v>
      </c>
    </row>
    <row r="15" spans="1:21" x14ac:dyDescent="0.3">
      <c r="A15" t="s">
        <v>192</v>
      </c>
      <c r="B15" s="1">
        <v>44883</v>
      </c>
      <c r="C15" s="6" t="s">
        <v>193</v>
      </c>
      <c r="D15" s="6" t="s">
        <v>189</v>
      </c>
      <c r="E15" s="6" t="s">
        <v>190</v>
      </c>
      <c r="F15" s="6" t="s">
        <v>194</v>
      </c>
      <c r="G15" s="4">
        <v>10</v>
      </c>
      <c r="H15" s="6" t="s">
        <v>191</v>
      </c>
      <c r="I15" s="1">
        <v>47440</v>
      </c>
      <c r="J15" s="8"/>
      <c r="K15" t="s">
        <v>50</v>
      </c>
      <c r="M15" t="s">
        <v>197</v>
      </c>
      <c r="N15" t="s">
        <v>6</v>
      </c>
      <c r="O15" t="s">
        <v>198</v>
      </c>
      <c r="Q15" s="19">
        <f t="shared" si="0"/>
        <v>0</v>
      </c>
    </row>
    <row r="16" spans="1:21" x14ac:dyDescent="0.3">
      <c r="A16" t="s">
        <v>48</v>
      </c>
      <c r="B16" s="1">
        <v>44898</v>
      </c>
      <c r="C16" s="6" t="s">
        <v>88</v>
      </c>
      <c r="D16" s="6" t="s">
        <v>3</v>
      </c>
      <c r="E16" s="6" t="s">
        <v>24</v>
      </c>
      <c r="F16" s="6" t="s">
        <v>89</v>
      </c>
      <c r="G16" s="4">
        <v>8</v>
      </c>
      <c r="H16" s="6" t="s">
        <v>43</v>
      </c>
      <c r="I16" s="1">
        <v>45959</v>
      </c>
      <c r="J16" s="8">
        <v>7000</v>
      </c>
      <c r="K16" t="s">
        <v>51</v>
      </c>
      <c r="M16" t="s">
        <v>155</v>
      </c>
      <c r="N16" t="s">
        <v>6</v>
      </c>
      <c r="O16" t="s">
        <v>255</v>
      </c>
      <c r="Q16" s="19">
        <f t="shared" si="0"/>
        <v>56000</v>
      </c>
    </row>
    <row r="17" spans="1:17" x14ac:dyDescent="0.3">
      <c r="A17" t="s">
        <v>114</v>
      </c>
      <c r="B17" s="1">
        <v>44898</v>
      </c>
      <c r="C17" s="6" t="s">
        <v>115</v>
      </c>
      <c r="D17" s="6" t="s">
        <v>3</v>
      </c>
      <c r="E17" s="6" t="s">
        <v>24</v>
      </c>
      <c r="F17" s="6" t="s">
        <v>116</v>
      </c>
      <c r="G17" s="4">
        <v>4</v>
      </c>
      <c r="H17" s="6" t="s">
        <v>43</v>
      </c>
      <c r="I17" s="1">
        <v>46689</v>
      </c>
      <c r="J17" s="8">
        <v>5600</v>
      </c>
      <c r="K17" t="s">
        <v>51</v>
      </c>
      <c r="M17" t="s">
        <v>155</v>
      </c>
      <c r="N17" t="s">
        <v>6</v>
      </c>
      <c r="O17" t="s">
        <v>255</v>
      </c>
      <c r="Q17" s="19">
        <f t="shared" si="0"/>
        <v>22400</v>
      </c>
    </row>
    <row r="18" spans="1:17" x14ac:dyDescent="0.3">
      <c r="A18" t="s">
        <v>259</v>
      </c>
      <c r="B18" s="1">
        <v>44898</v>
      </c>
      <c r="C18" s="6" t="s">
        <v>260</v>
      </c>
      <c r="D18" s="6" t="s">
        <v>257</v>
      </c>
      <c r="E18" s="6" t="s">
        <v>258</v>
      </c>
      <c r="F18" s="6"/>
      <c r="G18" s="4">
        <v>6</v>
      </c>
      <c r="H18" s="6" t="s">
        <v>191</v>
      </c>
      <c r="I18" s="1">
        <v>45263</v>
      </c>
      <c r="J18" s="8">
        <v>200</v>
      </c>
      <c r="K18" t="s">
        <v>51</v>
      </c>
      <c r="M18" t="s">
        <v>74</v>
      </c>
      <c r="N18" t="s">
        <v>6</v>
      </c>
      <c r="O18" t="s">
        <v>263</v>
      </c>
      <c r="Q18" s="19">
        <f t="shared" si="0"/>
        <v>1200</v>
      </c>
    </row>
    <row r="19" spans="1:17" x14ac:dyDescent="0.3">
      <c r="A19" t="s">
        <v>273</v>
      </c>
      <c r="B19" s="1">
        <v>44899</v>
      </c>
      <c r="C19" s="6" t="s">
        <v>274</v>
      </c>
      <c r="D19" s="6" t="s">
        <v>135</v>
      </c>
      <c r="E19" s="6" t="s">
        <v>136</v>
      </c>
      <c r="F19" s="6"/>
      <c r="G19" s="4">
        <v>2</v>
      </c>
      <c r="H19" s="6" t="s">
        <v>138</v>
      </c>
      <c r="I19" s="1">
        <v>44926</v>
      </c>
      <c r="J19" s="8">
        <v>600</v>
      </c>
      <c r="K19" t="s">
        <v>51</v>
      </c>
      <c r="M19" t="s">
        <v>155</v>
      </c>
      <c r="N19" t="s">
        <v>6</v>
      </c>
      <c r="O19" t="s">
        <v>281</v>
      </c>
      <c r="Q19" s="19">
        <f t="shared" si="0"/>
        <v>1200</v>
      </c>
    </row>
    <row r="20" spans="1:17" x14ac:dyDescent="0.3">
      <c r="A20" t="s">
        <v>273</v>
      </c>
      <c r="B20" s="1">
        <v>44899</v>
      </c>
      <c r="C20" s="6" t="s">
        <v>274</v>
      </c>
      <c r="D20" s="6" t="s">
        <v>135</v>
      </c>
      <c r="E20" s="6" t="s">
        <v>136</v>
      </c>
      <c r="F20" s="6"/>
      <c r="G20" s="4">
        <v>1</v>
      </c>
      <c r="H20" s="6" t="s">
        <v>138</v>
      </c>
      <c r="I20" s="1">
        <v>44926</v>
      </c>
      <c r="J20" s="8">
        <v>600</v>
      </c>
      <c r="K20" t="s">
        <v>52</v>
      </c>
      <c r="M20" t="s">
        <v>283</v>
      </c>
      <c r="N20" t="s">
        <v>6</v>
      </c>
      <c r="O20" t="s">
        <v>284</v>
      </c>
      <c r="Q20" s="19">
        <f t="shared" si="0"/>
        <v>600</v>
      </c>
    </row>
    <row r="21" spans="1:17" x14ac:dyDescent="0.3">
      <c r="A21" t="s">
        <v>277</v>
      </c>
      <c r="B21" s="1">
        <v>44899</v>
      </c>
      <c r="C21" s="6" t="s">
        <v>278</v>
      </c>
      <c r="D21" s="6" t="s">
        <v>3</v>
      </c>
      <c r="E21" s="6" t="s">
        <v>24</v>
      </c>
      <c r="F21" s="6"/>
      <c r="G21" s="4">
        <v>2</v>
      </c>
      <c r="H21" s="6" t="s">
        <v>43</v>
      </c>
      <c r="I21" s="1">
        <v>44927</v>
      </c>
      <c r="J21" s="8">
        <v>4500</v>
      </c>
      <c r="K21" t="s">
        <v>52</v>
      </c>
      <c r="M21" t="s">
        <v>285</v>
      </c>
      <c r="N21" t="s">
        <v>6</v>
      </c>
      <c r="O21" t="s">
        <v>286</v>
      </c>
      <c r="P21" t="s">
        <v>287</v>
      </c>
      <c r="Q21" s="19">
        <f t="shared" si="0"/>
        <v>9000</v>
      </c>
    </row>
    <row r="22" spans="1:17" x14ac:dyDescent="0.3">
      <c r="A22" t="s">
        <v>114</v>
      </c>
      <c r="B22" s="1">
        <v>44899</v>
      </c>
      <c r="C22" s="6" t="s">
        <v>115</v>
      </c>
      <c r="D22" s="6" t="s">
        <v>3</v>
      </c>
      <c r="E22" s="6" t="s">
        <v>24</v>
      </c>
      <c r="F22" s="6" t="s">
        <v>116</v>
      </c>
      <c r="G22" s="4">
        <v>1</v>
      </c>
      <c r="H22" s="6" t="s">
        <v>43</v>
      </c>
      <c r="I22" s="1">
        <v>46689</v>
      </c>
      <c r="J22" s="8">
        <v>5600</v>
      </c>
      <c r="K22" t="s">
        <v>52</v>
      </c>
      <c r="M22" t="s">
        <v>285</v>
      </c>
      <c r="N22" t="s">
        <v>6</v>
      </c>
      <c r="O22" t="s">
        <v>286</v>
      </c>
      <c r="P22" t="s">
        <v>287</v>
      </c>
      <c r="Q22" s="19">
        <f t="shared" si="0"/>
        <v>5600</v>
      </c>
    </row>
    <row r="23" spans="1:17" x14ac:dyDescent="0.3">
      <c r="A23" t="s">
        <v>265</v>
      </c>
      <c r="B23" s="1">
        <v>44899</v>
      </c>
      <c r="C23" s="6" t="s">
        <v>266</v>
      </c>
      <c r="D23" s="6" t="s">
        <v>257</v>
      </c>
      <c r="E23" s="6" t="s">
        <v>258</v>
      </c>
      <c r="F23" s="6"/>
      <c r="G23" s="4">
        <v>6</v>
      </c>
      <c r="H23" s="6" t="s">
        <v>191</v>
      </c>
      <c r="I23" s="1">
        <v>44922</v>
      </c>
      <c r="J23" s="8">
        <v>600</v>
      </c>
      <c r="K23" t="s">
        <v>52</v>
      </c>
      <c r="M23" t="s">
        <v>74</v>
      </c>
      <c r="N23" t="s">
        <v>6</v>
      </c>
      <c r="O23" t="s">
        <v>290</v>
      </c>
      <c r="Q23" s="19">
        <f t="shared" si="0"/>
        <v>3600</v>
      </c>
    </row>
    <row r="24" spans="1:17" x14ac:dyDescent="0.3">
      <c r="A24" t="s">
        <v>259</v>
      </c>
      <c r="B24" s="1">
        <v>44899</v>
      </c>
      <c r="C24" s="6" t="s">
        <v>260</v>
      </c>
      <c r="D24" s="6" t="s">
        <v>257</v>
      </c>
      <c r="E24" s="6" t="s">
        <v>258</v>
      </c>
      <c r="F24" s="6"/>
      <c r="G24" s="4">
        <v>6</v>
      </c>
      <c r="H24" s="6" t="s">
        <v>191</v>
      </c>
      <c r="I24" s="1">
        <v>45263</v>
      </c>
      <c r="J24" s="8">
        <v>200</v>
      </c>
      <c r="K24" t="s">
        <v>52</v>
      </c>
      <c r="M24" t="s">
        <v>74</v>
      </c>
      <c r="N24" t="s">
        <v>6</v>
      </c>
      <c r="O24" t="s">
        <v>290</v>
      </c>
      <c r="Q24" s="19">
        <f t="shared" si="0"/>
        <v>1200</v>
      </c>
    </row>
    <row r="25" spans="1:17" x14ac:dyDescent="0.3">
      <c r="A25" t="s">
        <v>114</v>
      </c>
      <c r="B25" s="1">
        <v>44904</v>
      </c>
      <c r="C25" s="6" t="s">
        <v>115</v>
      </c>
      <c r="D25" s="6" t="s">
        <v>3</v>
      </c>
      <c r="E25" s="6" t="s">
        <v>24</v>
      </c>
      <c r="F25" s="6" t="s">
        <v>116</v>
      </c>
      <c r="G25" s="4">
        <v>6</v>
      </c>
      <c r="H25" s="6" t="s">
        <v>43</v>
      </c>
      <c r="I25" s="1">
        <v>46689</v>
      </c>
      <c r="J25" s="8">
        <v>5600</v>
      </c>
      <c r="K25" t="s">
        <v>51</v>
      </c>
      <c r="M25" t="s">
        <v>155</v>
      </c>
      <c r="N25" t="s">
        <v>130</v>
      </c>
      <c r="O25" t="s">
        <v>307</v>
      </c>
      <c r="Q25" s="19">
        <f t="shared" si="0"/>
        <v>33600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8E108-AE16-4380-8254-25D3BFBE7812}">
  <sheetPr codeName="Sheet8"/>
  <dimension ref="A1:H18"/>
  <sheetViews>
    <sheetView workbookViewId="0">
      <selection activeCell="B2" sqref="B2"/>
    </sheetView>
  </sheetViews>
  <sheetFormatPr defaultRowHeight="14.4" x14ac:dyDescent="0.3"/>
  <cols>
    <col min="1" max="1" width="13.33203125" bestFit="1" customWidth="1"/>
    <col min="2" max="2" width="16.44140625" bestFit="1" customWidth="1"/>
    <col min="3" max="3" width="12.77734375" bestFit="1" customWidth="1"/>
    <col min="4" max="4" width="10.6640625" bestFit="1" customWidth="1"/>
    <col min="5" max="5" width="9.77734375" bestFit="1" customWidth="1"/>
    <col min="6" max="6" width="6.109375" bestFit="1" customWidth="1"/>
    <col min="7" max="8" width="10.5546875" bestFit="1" customWidth="1"/>
  </cols>
  <sheetData>
    <row r="1" spans="1:8" x14ac:dyDescent="0.3">
      <c r="A1" s="12" t="s">
        <v>104</v>
      </c>
      <c r="B1" s="13" t="s">
        <v>66</v>
      </c>
      <c r="C1" s="13" t="s">
        <v>67</v>
      </c>
      <c r="D1" s="13" t="s">
        <v>68</v>
      </c>
      <c r="E1" s="13" t="s">
        <v>69</v>
      </c>
      <c r="F1" s="13" t="s">
        <v>70</v>
      </c>
      <c r="G1" s="14" t="s">
        <v>71</v>
      </c>
      <c r="H1" s="13" t="s">
        <v>72</v>
      </c>
    </row>
    <row r="2" spans="1:8" x14ac:dyDescent="0.3">
      <c r="A2" t="s">
        <v>114</v>
      </c>
      <c r="B2" t="s">
        <v>115</v>
      </c>
      <c r="C2" t="s">
        <v>24</v>
      </c>
      <c r="D2" t="s">
        <v>116</v>
      </c>
      <c r="E2">
        <v>6</v>
      </c>
      <c r="F2" s="6" t="s">
        <v>43</v>
      </c>
      <c r="G2" s="1">
        <v>46689</v>
      </c>
      <c r="H2" s="1">
        <v>44904</v>
      </c>
    </row>
    <row r="8" spans="1:8" x14ac:dyDescent="0.3">
      <c r="F8" s="6"/>
      <c r="G8" s="1"/>
      <c r="H8" s="1"/>
    </row>
    <row r="9" spans="1:8" x14ac:dyDescent="0.3">
      <c r="H9" s="1"/>
    </row>
    <row r="10" spans="1:8" x14ac:dyDescent="0.3">
      <c r="H10" s="1"/>
    </row>
    <row r="11" spans="1:8" x14ac:dyDescent="0.3">
      <c r="H11" s="1"/>
    </row>
    <row r="12" spans="1:8" x14ac:dyDescent="0.3">
      <c r="H12" s="1"/>
    </row>
    <row r="13" spans="1:8" x14ac:dyDescent="0.3">
      <c r="F13" s="6"/>
      <c r="G13" s="1"/>
      <c r="H13" s="1"/>
    </row>
    <row r="14" spans="1:8" x14ac:dyDescent="0.3">
      <c r="F14" s="6"/>
      <c r="G14" s="1"/>
    </row>
    <row r="15" spans="1:8" x14ac:dyDescent="0.3">
      <c r="F15" s="6"/>
      <c r="G15" s="1"/>
    </row>
    <row r="16" spans="1:8" x14ac:dyDescent="0.3">
      <c r="F16" s="6"/>
      <c r="G16" s="1"/>
    </row>
    <row r="17" spans="6:7" x14ac:dyDescent="0.3">
      <c r="F17" s="6"/>
      <c r="G17" s="1"/>
    </row>
    <row r="18" spans="6:7" x14ac:dyDescent="0.3">
      <c r="F18" s="6"/>
      <c r="G18" s="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2BED3-6D45-4194-93BB-306031B8D431}">
  <sheetPr codeName="Sheet6"/>
  <dimension ref="A1:XFC8"/>
  <sheetViews>
    <sheetView workbookViewId="0">
      <selection activeCell="I16" sqref="I16"/>
    </sheetView>
  </sheetViews>
  <sheetFormatPr defaultRowHeight="14.4" x14ac:dyDescent="0.3"/>
  <cols>
    <col min="1" max="1" width="13.33203125" style="6" bestFit="1" customWidth="1"/>
    <col min="2" max="2" width="8.5546875" style="6" bestFit="1" customWidth="1"/>
    <col min="3" max="3" width="12.77734375" style="6" bestFit="1" customWidth="1"/>
    <col min="4" max="4" width="8.6640625" style="15" bestFit="1" customWidth="1"/>
    <col min="5" max="5" width="4" style="6" bestFit="1" customWidth="1"/>
    <col min="6" max="6" width="6.109375" bestFit="1" customWidth="1"/>
    <col min="7" max="8" width="10.5546875" bestFit="1" customWidth="1"/>
    <col min="9" max="9" width="11.77734375" bestFit="1" customWidth="1"/>
    <col min="10" max="10" width="10.109375" bestFit="1" customWidth="1"/>
    <col min="11" max="11" width="9.5546875" bestFit="1" customWidth="1"/>
    <col min="12" max="12" width="7.109375" bestFit="1" customWidth="1"/>
    <col min="13" max="13" width="12.77734375" bestFit="1" customWidth="1"/>
    <col min="14" max="14" width="9.109375" bestFit="1" customWidth="1"/>
    <col min="15" max="15" width="15.109375" bestFit="1" customWidth="1"/>
    <col min="16" max="16" width="18.88671875" bestFit="1" customWidth="1"/>
  </cols>
  <sheetData>
    <row r="1" spans="1:16383" s="5" customFormat="1" x14ac:dyDescent="0.3">
      <c r="A1" s="26" t="s">
        <v>104</v>
      </c>
      <c r="B1" s="26" t="s">
        <v>66</v>
      </c>
      <c r="C1" s="26" t="s">
        <v>67</v>
      </c>
      <c r="D1" s="26" t="s">
        <v>68</v>
      </c>
      <c r="E1" s="26" t="s">
        <v>69</v>
      </c>
      <c r="F1" s="26" t="s">
        <v>70</v>
      </c>
      <c r="G1" s="17" t="s">
        <v>71</v>
      </c>
      <c r="H1" s="16" t="s">
        <v>124</v>
      </c>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row>
    <row r="2" spans="1:16383" x14ac:dyDescent="0.3">
      <c r="A2"/>
      <c r="B2"/>
      <c r="C2"/>
      <c r="D2"/>
      <c r="E2"/>
      <c r="G2" s="1">
        <v>44923</v>
      </c>
      <c r="H2" s="1">
        <v>44904</v>
      </c>
    </row>
    <row r="3" spans="1:16383" x14ac:dyDescent="0.3">
      <c r="A3"/>
      <c r="B3"/>
      <c r="C3"/>
      <c r="D3"/>
      <c r="E3"/>
      <c r="G3" s="1">
        <v>44938</v>
      </c>
      <c r="H3" s="1">
        <v>44904</v>
      </c>
    </row>
    <row r="4" spans="1:16383" x14ac:dyDescent="0.3">
      <c r="A4"/>
      <c r="B4"/>
      <c r="C4"/>
      <c r="D4"/>
      <c r="E4"/>
      <c r="G4" s="1"/>
      <c r="H4" s="1"/>
    </row>
    <row r="5" spans="1:16383" x14ac:dyDescent="0.3">
      <c r="A5"/>
      <c r="B5"/>
      <c r="C5"/>
      <c r="D5"/>
      <c r="E5"/>
    </row>
    <row r="6" spans="1:16383" x14ac:dyDescent="0.3">
      <c r="A6"/>
      <c r="B6"/>
      <c r="C6"/>
      <c r="D6"/>
      <c r="E6"/>
      <c r="G6" s="6"/>
      <c r="H6" s="1"/>
    </row>
    <row r="7" spans="1:16383" x14ac:dyDescent="0.3">
      <c r="A7"/>
      <c r="B7"/>
      <c r="C7"/>
      <c r="D7"/>
      <c r="E7"/>
      <c r="G7" s="1"/>
    </row>
    <row r="8" spans="1:16383" x14ac:dyDescent="0.3">
      <c r="A8"/>
      <c r="B8"/>
      <c r="C8"/>
      <c r="D8"/>
      <c r="E8"/>
      <c r="G8" s="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8997E-0294-4BB7-B562-B8F1628ED71D}">
  <sheetPr codeName="Sheet17"/>
  <dimension ref="A1:P5"/>
  <sheetViews>
    <sheetView workbookViewId="0">
      <selection activeCell="H20" sqref="H20"/>
    </sheetView>
  </sheetViews>
  <sheetFormatPr defaultRowHeight="14.4" x14ac:dyDescent="0.3"/>
  <cols>
    <col min="1" max="1" width="13.33203125" bestFit="1" customWidth="1"/>
    <col min="2" max="2" width="11.33203125" bestFit="1" customWidth="1"/>
    <col min="3" max="3" width="16.44140625" bestFit="1" customWidth="1"/>
    <col min="4" max="4" width="13.21875" bestFit="1" customWidth="1"/>
    <col min="5" max="5" width="11.109375" bestFit="1" customWidth="1"/>
    <col min="6" max="6" width="15.109375" bestFit="1" customWidth="1"/>
    <col min="8" max="8" width="16.88671875" bestFit="1" customWidth="1"/>
    <col min="9" max="9" width="11.77734375" bestFit="1" customWidth="1"/>
    <col min="10" max="10" width="10.33203125" bestFit="1" customWidth="1"/>
    <col min="16" max="16" width="10.109375" bestFit="1" customWidth="1"/>
  </cols>
  <sheetData>
    <row r="1" spans="1:16" x14ac:dyDescent="0.3">
      <c r="A1" s="2" t="s">
        <v>10</v>
      </c>
      <c r="B1" s="9" t="s">
        <v>9</v>
      </c>
      <c r="C1" s="5" t="s">
        <v>11</v>
      </c>
      <c r="D1" s="5" t="s">
        <v>12</v>
      </c>
      <c r="E1" s="5" t="s">
        <v>13</v>
      </c>
      <c r="F1" s="5" t="s">
        <v>14</v>
      </c>
      <c r="G1" s="3" t="s">
        <v>7</v>
      </c>
      <c r="H1" s="5" t="s">
        <v>47</v>
      </c>
      <c r="I1" s="9" t="s">
        <v>15</v>
      </c>
      <c r="J1" s="7" t="s">
        <v>16</v>
      </c>
      <c r="K1" s="5" t="s">
        <v>17</v>
      </c>
      <c r="P1" s="7" t="s">
        <v>16</v>
      </c>
    </row>
    <row r="2" spans="1:16" x14ac:dyDescent="0.3">
      <c r="A2" t="s">
        <v>55</v>
      </c>
      <c r="B2" s="1">
        <v>44863</v>
      </c>
      <c r="C2" s="6" t="s">
        <v>95</v>
      </c>
      <c r="D2" s="6" t="s">
        <v>3</v>
      </c>
      <c r="E2" s="6" t="s">
        <v>24</v>
      </c>
      <c r="F2" s="6" t="s">
        <v>96</v>
      </c>
      <c r="G2" s="4">
        <v>2</v>
      </c>
      <c r="H2" s="6" t="s">
        <v>43</v>
      </c>
      <c r="I2" s="1">
        <v>45594</v>
      </c>
      <c r="J2" s="8"/>
      <c r="P2" t="s">
        <v>188</v>
      </c>
    </row>
    <row r="3" spans="1:16" x14ac:dyDescent="0.3">
      <c r="A3" t="s">
        <v>55</v>
      </c>
      <c r="B3" s="1">
        <v>44863</v>
      </c>
      <c r="C3" s="6" t="s">
        <v>95</v>
      </c>
      <c r="D3" s="6" t="s">
        <v>3</v>
      </c>
      <c r="E3" s="6" t="s">
        <v>24</v>
      </c>
      <c r="F3" s="6" t="s">
        <v>96</v>
      </c>
      <c r="G3" s="4">
        <v>4</v>
      </c>
      <c r="H3" s="6" t="s">
        <v>43</v>
      </c>
      <c r="I3" s="1">
        <v>45594</v>
      </c>
      <c r="J3" s="8"/>
    </row>
    <row r="4" spans="1:16" x14ac:dyDescent="0.3">
      <c r="A4" t="s">
        <v>192</v>
      </c>
      <c r="B4" s="1">
        <v>44883</v>
      </c>
      <c r="C4" s="6" t="s">
        <v>193</v>
      </c>
      <c r="D4" s="6" t="s">
        <v>189</v>
      </c>
      <c r="E4" s="6" t="s">
        <v>190</v>
      </c>
      <c r="F4" s="6" t="s">
        <v>194</v>
      </c>
      <c r="G4" s="4">
        <v>10</v>
      </c>
      <c r="H4" s="6" t="s">
        <v>191</v>
      </c>
      <c r="I4" s="1">
        <v>47440</v>
      </c>
      <c r="J4" s="8"/>
    </row>
    <row r="5" spans="1:16" x14ac:dyDescent="0.3">
      <c r="P5" t="str">
        <f>""</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8E769-60CB-4E94-932D-50895C0BA74F}">
  <sheetPr codeName="Sheet18"/>
  <dimension ref="A1:K5"/>
  <sheetViews>
    <sheetView workbookViewId="0">
      <selection activeCell="I19" sqref="I19"/>
    </sheetView>
  </sheetViews>
  <sheetFormatPr defaultRowHeight="14.4" x14ac:dyDescent="0.3"/>
  <cols>
    <col min="1" max="1" width="13.33203125" bestFit="1" customWidth="1"/>
    <col min="2" max="2" width="11.33203125" bestFit="1" customWidth="1"/>
    <col min="3" max="3" width="16.44140625" bestFit="1" customWidth="1"/>
    <col min="5" max="5" width="12.77734375" bestFit="1" customWidth="1"/>
    <col min="6" max="6" width="15.109375" bestFit="1" customWidth="1"/>
    <col min="8" max="8" width="16.88671875" bestFit="1" customWidth="1"/>
    <col min="9" max="9" width="11.77734375" bestFit="1" customWidth="1"/>
    <col min="10" max="10" width="10.109375" bestFit="1" customWidth="1"/>
  </cols>
  <sheetData>
    <row r="1" spans="1:11" x14ac:dyDescent="0.3">
      <c r="A1" s="2" t="s">
        <v>10</v>
      </c>
      <c r="B1" s="9" t="s">
        <v>9</v>
      </c>
      <c r="C1" s="5" t="s">
        <v>11</v>
      </c>
      <c r="D1" s="5" t="s">
        <v>12</v>
      </c>
      <c r="E1" s="5" t="s">
        <v>13</v>
      </c>
      <c r="F1" s="5" t="s">
        <v>14</v>
      </c>
      <c r="G1" s="3" t="s">
        <v>7</v>
      </c>
      <c r="H1" s="5" t="s">
        <v>47</v>
      </c>
      <c r="I1" s="9" t="s">
        <v>15</v>
      </c>
      <c r="J1" s="7" t="s">
        <v>16</v>
      </c>
      <c r="K1" s="5"/>
    </row>
    <row r="2" spans="1:11" x14ac:dyDescent="0.3">
      <c r="A2" t="s">
        <v>161</v>
      </c>
      <c r="B2" s="1">
        <v>44879</v>
      </c>
      <c r="C2" s="6" t="s">
        <v>162</v>
      </c>
      <c r="D2" s="6" t="s">
        <v>158</v>
      </c>
      <c r="E2" s="6" t="s">
        <v>159</v>
      </c>
      <c r="F2" s="6" t="s">
        <v>163</v>
      </c>
      <c r="G2" s="4">
        <v>18</v>
      </c>
      <c r="H2" s="6" t="s">
        <v>160</v>
      </c>
      <c r="I2" s="1">
        <v>44149</v>
      </c>
      <c r="J2" s="8"/>
    </row>
    <row r="3" spans="1:11" x14ac:dyDescent="0.3">
      <c r="A3" t="s">
        <v>298</v>
      </c>
      <c r="B3" s="1">
        <v>44904</v>
      </c>
      <c r="C3" s="6" t="s">
        <v>299</v>
      </c>
      <c r="D3" s="6" t="s">
        <v>257</v>
      </c>
      <c r="E3" s="6" t="s">
        <v>258</v>
      </c>
      <c r="F3" s="6"/>
      <c r="G3" s="4">
        <v>10</v>
      </c>
      <c r="H3" s="6" t="s">
        <v>191</v>
      </c>
      <c r="I3" s="1">
        <v>44938</v>
      </c>
      <c r="J3" s="8"/>
    </row>
    <row r="4" spans="1:11" x14ac:dyDescent="0.3">
      <c r="A4" t="s">
        <v>192</v>
      </c>
      <c r="B4" s="1">
        <v>44883</v>
      </c>
      <c r="C4" s="6" t="s">
        <v>193</v>
      </c>
      <c r="D4" s="6" t="s">
        <v>189</v>
      </c>
      <c r="E4" s="6" t="s">
        <v>190</v>
      </c>
      <c r="F4" s="6" t="s">
        <v>194</v>
      </c>
      <c r="G4" s="4">
        <v>40</v>
      </c>
      <c r="H4" s="6" t="s">
        <v>191</v>
      </c>
      <c r="I4" s="1">
        <v>47440</v>
      </c>
      <c r="J4" s="8"/>
    </row>
    <row r="5" spans="1:11" x14ac:dyDescent="0.3">
      <c r="A5" t="s">
        <v>55</v>
      </c>
      <c r="B5" s="1">
        <v>44863</v>
      </c>
      <c r="C5" s="6" t="s">
        <v>95</v>
      </c>
      <c r="D5" s="6" t="s">
        <v>3</v>
      </c>
      <c r="E5" s="6" t="s">
        <v>24</v>
      </c>
      <c r="F5" s="6" t="s">
        <v>96</v>
      </c>
      <c r="G5" s="4">
        <v>6</v>
      </c>
      <c r="H5" s="6" t="s">
        <v>43</v>
      </c>
      <c r="I5" s="1">
        <v>45594</v>
      </c>
      <c r="J5" s="8"/>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71417-739D-4365-A628-D3AD0546515A}">
  <sheetPr codeName="Sheet20"/>
  <dimension ref="A1"/>
  <sheetViews>
    <sheetView workbookViewId="0">
      <selection activeCell="A3" sqref="A3"/>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FA873-2967-4A71-825E-EC42F76A6BAD}">
  <sheetPr codeName="Sheet2"/>
  <dimension ref="A1:L13"/>
  <sheetViews>
    <sheetView workbookViewId="0">
      <selection activeCell="L2" sqref="L2"/>
    </sheetView>
  </sheetViews>
  <sheetFormatPr defaultRowHeight="14.4" x14ac:dyDescent="0.3"/>
  <cols>
    <col min="1" max="1" width="4" bestFit="1" customWidth="1"/>
    <col min="2" max="2" width="16" bestFit="1" customWidth="1"/>
    <col min="3" max="3" width="16.88671875" bestFit="1" customWidth="1"/>
    <col min="4" max="4" width="17.88671875" bestFit="1" customWidth="1"/>
    <col min="5" max="5" width="10.5546875" bestFit="1" customWidth="1"/>
    <col min="6" max="6" width="15" bestFit="1" customWidth="1"/>
    <col min="7" max="7" width="18.6640625" bestFit="1" customWidth="1"/>
    <col min="8" max="8" width="21.77734375" bestFit="1" customWidth="1"/>
    <col min="9" max="9" width="11.109375" bestFit="1" customWidth="1"/>
    <col min="10" max="10" width="10.109375" bestFit="1" customWidth="1"/>
    <col min="11" max="11" width="13.5546875" bestFit="1" customWidth="1"/>
  </cols>
  <sheetData>
    <row r="1" spans="1:12" x14ac:dyDescent="0.3">
      <c r="A1" t="s">
        <v>26</v>
      </c>
      <c r="B1" t="s">
        <v>12</v>
      </c>
      <c r="C1" t="s">
        <v>13</v>
      </c>
      <c r="D1" t="s">
        <v>19</v>
      </c>
      <c r="E1" t="s">
        <v>20</v>
      </c>
      <c r="F1" t="s">
        <v>27</v>
      </c>
      <c r="G1" t="s">
        <v>28</v>
      </c>
      <c r="H1" t="s">
        <v>42</v>
      </c>
      <c r="I1" s="1" t="s">
        <v>23</v>
      </c>
      <c r="J1" t="s">
        <v>131</v>
      </c>
      <c r="K1" t="s">
        <v>132</v>
      </c>
    </row>
    <row r="2" spans="1:12" x14ac:dyDescent="0.3">
      <c r="A2">
        <v>1</v>
      </c>
      <c r="B2" t="s">
        <v>3</v>
      </c>
      <c r="C2" t="s">
        <v>24</v>
      </c>
      <c r="D2" t="s">
        <v>1</v>
      </c>
      <c r="E2" t="s">
        <v>2</v>
      </c>
      <c r="F2">
        <v>2</v>
      </c>
      <c r="G2" s="1" t="s">
        <v>25</v>
      </c>
      <c r="H2" s="1" t="s">
        <v>43</v>
      </c>
      <c r="I2" s="1">
        <v>44848</v>
      </c>
      <c r="J2">
        <v>11</v>
      </c>
      <c r="K2" t="s">
        <v>133</v>
      </c>
      <c r="L2" t="str">
        <f>IF($J2=0,"Stockout:Reorder",IF($J2&gt;$F2,"Above level",IF($J2&lt;$F2,"Reorder")))</f>
        <v>Above level</v>
      </c>
    </row>
    <row r="3" spans="1:12" x14ac:dyDescent="0.3">
      <c r="A3">
        <v>2</v>
      </c>
      <c r="B3" t="s">
        <v>8</v>
      </c>
      <c r="C3" t="s">
        <v>41</v>
      </c>
      <c r="D3" t="s">
        <v>21</v>
      </c>
      <c r="E3" t="s">
        <v>22</v>
      </c>
      <c r="F3">
        <v>4</v>
      </c>
      <c r="G3" t="s">
        <v>25</v>
      </c>
      <c r="H3" t="s">
        <v>43</v>
      </c>
      <c r="I3" s="1">
        <v>44848</v>
      </c>
      <c r="J3">
        <v>5</v>
      </c>
      <c r="K3" t="s">
        <v>133</v>
      </c>
      <c r="L3" t="str">
        <f t="shared" ref="L3:L12" si="0">IF($J3=0,"Stockout:Reorder",IF($J3&gt;$F3,"Above level",IF($J3&lt;$F3,"Reorder")))</f>
        <v>Above level</v>
      </c>
    </row>
    <row r="4" spans="1:12" x14ac:dyDescent="0.3">
      <c r="A4">
        <v>3</v>
      </c>
      <c r="B4" t="s">
        <v>44</v>
      </c>
      <c r="C4" t="s">
        <v>45</v>
      </c>
      <c r="D4" t="s">
        <v>21</v>
      </c>
      <c r="E4" t="s">
        <v>22</v>
      </c>
      <c r="F4">
        <v>2</v>
      </c>
      <c r="G4" t="s">
        <v>25</v>
      </c>
      <c r="H4" t="s">
        <v>46</v>
      </c>
      <c r="I4" s="1">
        <v>44849</v>
      </c>
      <c r="J4">
        <v>102</v>
      </c>
      <c r="K4" t="s">
        <v>133</v>
      </c>
      <c r="L4" t="str">
        <f t="shared" si="0"/>
        <v>Above level</v>
      </c>
    </row>
    <row r="5" spans="1:12" x14ac:dyDescent="0.3">
      <c r="A5">
        <v>4</v>
      </c>
      <c r="B5" t="s">
        <v>135</v>
      </c>
      <c r="C5" t="s">
        <v>136</v>
      </c>
      <c r="D5" t="s">
        <v>31</v>
      </c>
      <c r="E5" t="s">
        <v>137</v>
      </c>
      <c r="F5">
        <v>2</v>
      </c>
      <c r="G5" t="s">
        <v>29</v>
      </c>
      <c r="H5" t="s">
        <v>138</v>
      </c>
      <c r="I5" s="1">
        <f ca="1">TODAY()</f>
        <v>44908</v>
      </c>
      <c r="J5">
        <v>12</v>
      </c>
      <c r="K5" t="s">
        <v>133</v>
      </c>
      <c r="L5" t="str">
        <f t="shared" si="0"/>
        <v>Above level</v>
      </c>
    </row>
    <row r="6" spans="1:12" x14ac:dyDescent="0.3">
      <c r="A6">
        <v>5</v>
      </c>
      <c r="B6" t="s">
        <v>143</v>
      </c>
      <c r="C6" t="s">
        <v>144</v>
      </c>
      <c r="D6" t="s">
        <v>145</v>
      </c>
      <c r="E6" t="s">
        <v>146</v>
      </c>
      <c r="F6">
        <v>3</v>
      </c>
      <c r="G6" t="s">
        <v>30</v>
      </c>
      <c r="H6" t="s">
        <v>138</v>
      </c>
      <c r="I6" s="1">
        <f ca="1">TODAY()</f>
        <v>44908</v>
      </c>
      <c r="J6">
        <v>1</v>
      </c>
      <c r="K6" t="s">
        <v>134</v>
      </c>
      <c r="L6" t="str">
        <f t="shared" si="0"/>
        <v>Reorder</v>
      </c>
    </row>
    <row r="7" spans="1:12" x14ac:dyDescent="0.3">
      <c r="A7">
        <v>6</v>
      </c>
      <c r="B7" t="s">
        <v>158</v>
      </c>
      <c r="C7" t="s">
        <v>159</v>
      </c>
      <c r="D7" t="s">
        <v>32</v>
      </c>
      <c r="E7" t="s">
        <v>34</v>
      </c>
      <c r="F7">
        <v>1</v>
      </c>
      <c r="G7" t="s">
        <v>30</v>
      </c>
      <c r="H7" t="s">
        <v>160</v>
      </c>
      <c r="I7" s="1">
        <v>44879</v>
      </c>
      <c r="J7">
        <v>18</v>
      </c>
      <c r="K7" t="s">
        <v>133</v>
      </c>
      <c r="L7" t="str">
        <f t="shared" si="0"/>
        <v>Above level</v>
      </c>
    </row>
    <row r="8" spans="1:12" x14ac:dyDescent="0.3">
      <c r="A8">
        <v>7</v>
      </c>
      <c r="B8" t="s">
        <v>189</v>
      </c>
      <c r="C8" t="s">
        <v>190</v>
      </c>
      <c r="D8" t="s">
        <v>38</v>
      </c>
      <c r="E8" t="s">
        <v>40</v>
      </c>
      <c r="F8">
        <v>10</v>
      </c>
      <c r="G8" t="s">
        <v>29</v>
      </c>
      <c r="H8" t="s">
        <v>191</v>
      </c>
      <c r="I8" s="1">
        <v>44883</v>
      </c>
      <c r="J8">
        <v>45</v>
      </c>
      <c r="K8" t="s">
        <v>133</v>
      </c>
      <c r="L8" t="str">
        <f t="shared" si="0"/>
        <v>Above level</v>
      </c>
    </row>
    <row r="9" spans="1:12" x14ac:dyDescent="0.3">
      <c r="A9">
        <v>8</v>
      </c>
      <c r="B9" t="s">
        <v>199</v>
      </c>
      <c r="C9" t="s">
        <v>200</v>
      </c>
      <c r="D9" t="s">
        <v>39</v>
      </c>
      <c r="E9" t="s">
        <v>40</v>
      </c>
      <c r="F9">
        <v>20</v>
      </c>
      <c r="G9" t="s">
        <v>25</v>
      </c>
      <c r="H9" t="s">
        <v>191</v>
      </c>
      <c r="I9" s="1">
        <v>44883</v>
      </c>
      <c r="J9">
        <v>0</v>
      </c>
      <c r="K9" t="s">
        <v>142</v>
      </c>
      <c r="L9" t="str">
        <f t="shared" si="0"/>
        <v>Stockout:Reorder</v>
      </c>
    </row>
    <row r="10" spans="1:12" x14ac:dyDescent="0.3">
      <c r="A10">
        <v>9</v>
      </c>
      <c r="B10" t="s">
        <v>201</v>
      </c>
      <c r="C10" t="s">
        <v>202</v>
      </c>
      <c r="D10" t="s">
        <v>39</v>
      </c>
      <c r="E10" t="s">
        <v>40</v>
      </c>
      <c r="F10">
        <v>1</v>
      </c>
      <c r="G10" t="s">
        <v>30</v>
      </c>
      <c r="H10" t="s">
        <v>191</v>
      </c>
      <c r="I10" s="1">
        <v>44883</v>
      </c>
      <c r="J10">
        <v>2</v>
      </c>
      <c r="K10" t="s">
        <v>133</v>
      </c>
      <c r="L10" t="str">
        <f t="shared" si="0"/>
        <v>Above level</v>
      </c>
    </row>
    <row r="11" spans="1:12" x14ac:dyDescent="0.3">
      <c r="A11">
        <v>10</v>
      </c>
      <c r="B11" t="s">
        <v>248</v>
      </c>
      <c r="C11" t="s">
        <v>249</v>
      </c>
      <c r="D11" t="s">
        <v>21</v>
      </c>
      <c r="E11" t="s">
        <v>35</v>
      </c>
      <c r="F11">
        <v>1</v>
      </c>
      <c r="G11" t="s">
        <v>29</v>
      </c>
      <c r="H11" t="s">
        <v>43</v>
      </c>
      <c r="I11" s="1">
        <v>44892</v>
      </c>
      <c r="J11">
        <v>15</v>
      </c>
      <c r="K11" t="s">
        <v>133</v>
      </c>
      <c r="L11" t="str">
        <f t="shared" si="0"/>
        <v>Above level</v>
      </c>
    </row>
    <row r="12" spans="1:12" x14ac:dyDescent="0.3">
      <c r="A12">
        <v>11</v>
      </c>
      <c r="B12" t="s">
        <v>257</v>
      </c>
      <c r="C12" t="s">
        <v>258</v>
      </c>
      <c r="D12" t="s">
        <v>39</v>
      </c>
      <c r="E12" t="s">
        <v>40</v>
      </c>
      <c r="F12">
        <v>12</v>
      </c>
      <c r="G12" t="s">
        <v>25</v>
      </c>
      <c r="H12" t="s">
        <v>191</v>
      </c>
      <c r="I12" s="1">
        <v>44898</v>
      </c>
      <c r="J12">
        <v>46</v>
      </c>
      <c r="K12" t="s">
        <v>133</v>
      </c>
      <c r="L12" t="str">
        <f t="shared" si="0"/>
        <v>Above level</v>
      </c>
    </row>
    <row r="13" spans="1:12" x14ac:dyDescent="0.3">
      <c r="A13">
        <v>12</v>
      </c>
      <c r="B13" t="s">
        <v>291</v>
      </c>
      <c r="C13" t="s">
        <v>292</v>
      </c>
      <c r="D13" t="s">
        <v>21</v>
      </c>
      <c r="E13" t="s">
        <v>40</v>
      </c>
      <c r="F13">
        <v>2</v>
      </c>
      <c r="G13" t="s">
        <v>29</v>
      </c>
      <c r="H13" t="s">
        <v>191</v>
      </c>
      <c r="I13" s="1">
        <v>44901</v>
      </c>
      <c r="J13">
        <v>3</v>
      </c>
      <c r="K13" t="s">
        <v>133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F288-710B-4780-9B27-F8212282B908}">
  <sheetPr codeName="Sheet11"/>
  <dimension ref="A1:O13"/>
  <sheetViews>
    <sheetView workbookViewId="0">
      <selection activeCell="O4" sqref="O4"/>
    </sheetView>
  </sheetViews>
  <sheetFormatPr defaultRowHeight="14.4" x14ac:dyDescent="0.3"/>
  <cols>
    <col min="1" max="1" width="3.33203125" bestFit="1" customWidth="1"/>
    <col min="2" max="2" width="13.109375" bestFit="1" customWidth="1"/>
    <col min="3" max="3" width="12.77734375" bestFit="1" customWidth="1"/>
    <col min="4" max="4" width="10.109375" bestFit="1" customWidth="1"/>
    <col min="5" max="6" width="10.109375" customWidth="1"/>
    <col min="7" max="7" width="13.5546875" bestFit="1" customWidth="1"/>
    <col min="14" max="14" width="10" bestFit="1" customWidth="1"/>
    <col min="15" max="15" width="13.88671875" bestFit="1" customWidth="1"/>
  </cols>
  <sheetData>
    <row r="1" spans="1:15" x14ac:dyDescent="0.3">
      <c r="A1" s="2" t="s">
        <v>139</v>
      </c>
      <c r="B1" s="2" t="s">
        <v>12</v>
      </c>
      <c r="C1" s="2" t="s">
        <v>13</v>
      </c>
      <c r="D1" s="2" t="s">
        <v>131</v>
      </c>
      <c r="E1" s="2" t="s">
        <v>140</v>
      </c>
      <c r="F1" s="2" t="s">
        <v>141</v>
      </c>
      <c r="G1" s="2" t="s">
        <v>132</v>
      </c>
      <c r="N1" s="2" t="s">
        <v>141</v>
      </c>
      <c r="O1" s="2" t="s">
        <v>132</v>
      </c>
    </row>
    <row r="2" spans="1:15" x14ac:dyDescent="0.3">
      <c r="A2">
        <v>1</v>
      </c>
      <c r="B2" t="s">
        <v>3</v>
      </c>
      <c r="C2" t="s">
        <v>24</v>
      </c>
      <c r="D2">
        <v>11</v>
      </c>
      <c r="E2" s="1" t="s">
        <v>43</v>
      </c>
      <c r="F2" s="1" t="s">
        <v>25</v>
      </c>
      <c r="G2" t="s">
        <v>133</v>
      </c>
      <c r="O2" t="s">
        <v>142</v>
      </c>
    </row>
    <row r="3" spans="1:15" x14ac:dyDescent="0.3">
      <c r="A3">
        <v>2</v>
      </c>
      <c r="B3" t="s">
        <v>8</v>
      </c>
      <c r="C3" t="s">
        <v>41</v>
      </c>
      <c r="D3">
        <v>5</v>
      </c>
      <c r="E3" t="s">
        <v>43</v>
      </c>
      <c r="F3" t="s">
        <v>25</v>
      </c>
      <c r="G3" t="s">
        <v>133</v>
      </c>
      <c r="O3" t="s">
        <v>134</v>
      </c>
    </row>
    <row r="4" spans="1:15" x14ac:dyDescent="0.3">
      <c r="A4">
        <v>3</v>
      </c>
      <c r="B4" t="s">
        <v>44</v>
      </c>
      <c r="C4" t="s">
        <v>45</v>
      </c>
      <c r="D4">
        <v>102</v>
      </c>
      <c r="E4" t="s">
        <v>46</v>
      </c>
      <c r="F4" t="s">
        <v>25</v>
      </c>
      <c r="G4" t="s">
        <v>133</v>
      </c>
    </row>
    <row r="5" spans="1:15" x14ac:dyDescent="0.3">
      <c r="A5">
        <v>4</v>
      </c>
      <c r="B5" t="s">
        <v>135</v>
      </c>
      <c r="C5" t="s">
        <v>136</v>
      </c>
      <c r="D5">
        <v>12</v>
      </c>
      <c r="E5" t="s">
        <v>138</v>
      </c>
      <c r="F5" t="s">
        <v>29</v>
      </c>
      <c r="G5" t="s">
        <v>133</v>
      </c>
    </row>
    <row r="6" spans="1:15" x14ac:dyDescent="0.3">
      <c r="A6">
        <v>5</v>
      </c>
      <c r="B6" t="s">
        <v>143</v>
      </c>
      <c r="C6" t="s">
        <v>144</v>
      </c>
      <c r="D6">
        <v>1</v>
      </c>
      <c r="E6" t="s">
        <v>138</v>
      </c>
      <c r="F6" t="s">
        <v>30</v>
      </c>
      <c r="G6" t="s">
        <v>134</v>
      </c>
    </row>
    <row r="7" spans="1:15" x14ac:dyDescent="0.3">
      <c r="A7">
        <v>6</v>
      </c>
      <c r="B7" t="s">
        <v>158</v>
      </c>
      <c r="C7" t="s">
        <v>159</v>
      </c>
      <c r="D7">
        <v>18</v>
      </c>
      <c r="E7" t="s">
        <v>160</v>
      </c>
      <c r="F7" t="s">
        <v>30</v>
      </c>
      <c r="G7" t="s">
        <v>133</v>
      </c>
    </row>
    <row r="8" spans="1:15" x14ac:dyDescent="0.3">
      <c r="A8">
        <v>7</v>
      </c>
      <c r="B8" t="s">
        <v>189</v>
      </c>
      <c r="C8" t="s">
        <v>190</v>
      </c>
      <c r="D8">
        <v>45</v>
      </c>
      <c r="E8" t="s">
        <v>191</v>
      </c>
      <c r="F8" t="s">
        <v>29</v>
      </c>
      <c r="G8" t="s">
        <v>133</v>
      </c>
    </row>
    <row r="9" spans="1:15" x14ac:dyDescent="0.3">
      <c r="A9">
        <v>8</v>
      </c>
      <c r="B9" t="s">
        <v>199</v>
      </c>
      <c r="C9" t="s">
        <v>200</v>
      </c>
      <c r="D9">
        <v>0</v>
      </c>
      <c r="E9" t="s">
        <v>191</v>
      </c>
      <c r="F9" t="s">
        <v>25</v>
      </c>
      <c r="G9" t="s">
        <v>142</v>
      </c>
    </row>
    <row r="10" spans="1:15" x14ac:dyDescent="0.3">
      <c r="A10">
        <v>9</v>
      </c>
      <c r="B10" t="s">
        <v>201</v>
      </c>
      <c r="C10" t="s">
        <v>202</v>
      </c>
      <c r="D10">
        <v>2</v>
      </c>
      <c r="E10" t="s">
        <v>191</v>
      </c>
      <c r="F10" t="s">
        <v>30</v>
      </c>
      <c r="G10" t="s">
        <v>133</v>
      </c>
    </row>
    <row r="11" spans="1:15" x14ac:dyDescent="0.3">
      <c r="A11">
        <v>10</v>
      </c>
      <c r="B11" t="s">
        <v>248</v>
      </c>
      <c r="C11" t="s">
        <v>249</v>
      </c>
      <c r="D11">
        <v>15</v>
      </c>
      <c r="E11" t="s">
        <v>43</v>
      </c>
      <c r="F11" t="s">
        <v>29</v>
      </c>
      <c r="G11" t="s">
        <v>133</v>
      </c>
    </row>
    <row r="12" spans="1:15" x14ac:dyDescent="0.3">
      <c r="A12">
        <v>11</v>
      </c>
      <c r="B12" t="s">
        <v>257</v>
      </c>
      <c r="C12" t="s">
        <v>258</v>
      </c>
      <c r="D12">
        <v>46</v>
      </c>
      <c r="E12" t="s">
        <v>191</v>
      </c>
      <c r="F12" t="s">
        <v>25</v>
      </c>
      <c r="G12" t="s">
        <v>133</v>
      </c>
    </row>
    <row r="13" spans="1:15" x14ac:dyDescent="0.3">
      <c r="A13">
        <v>12</v>
      </c>
      <c r="B13" t="s">
        <v>291</v>
      </c>
      <c r="C13" t="s">
        <v>292</v>
      </c>
      <c r="D13">
        <v>3</v>
      </c>
      <c r="E13" t="s">
        <v>191</v>
      </c>
      <c r="F13" t="s">
        <v>29</v>
      </c>
      <c r="G13" t="s">
        <v>133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70E8-91FA-4449-BE2C-331FFF35E813}">
  <sheetPr codeName="Sheet13"/>
  <dimension ref="A1:F3"/>
  <sheetViews>
    <sheetView workbookViewId="0">
      <selection activeCell="F3" sqref="F3"/>
    </sheetView>
  </sheetViews>
  <sheetFormatPr defaultRowHeight="14.4" x14ac:dyDescent="0.3"/>
  <cols>
    <col min="1" max="1" width="22" customWidth="1"/>
    <col min="2" max="2" width="22.6640625" customWidth="1"/>
    <col min="3" max="3" width="13.6640625" customWidth="1"/>
    <col min="4" max="4" width="11.77734375" customWidth="1"/>
    <col min="5" max="5" width="15.44140625" customWidth="1"/>
    <col min="6" max="6" width="18.77734375" customWidth="1"/>
  </cols>
  <sheetData>
    <row r="1" spans="1:6" x14ac:dyDescent="0.3">
      <c r="A1" s="2" t="s">
        <v>12</v>
      </c>
      <c r="B1" s="2" t="s">
        <v>13</v>
      </c>
      <c r="C1" s="2" t="s">
        <v>131</v>
      </c>
      <c r="D1" s="2" t="s">
        <v>140</v>
      </c>
      <c r="E1" s="2" t="s">
        <v>141</v>
      </c>
      <c r="F1" s="2" t="s">
        <v>132</v>
      </c>
    </row>
    <row r="2" spans="1:6" x14ac:dyDescent="0.3">
      <c r="A2" t="s">
        <v>143</v>
      </c>
      <c r="B2" t="s">
        <v>144</v>
      </c>
      <c r="C2">
        <v>0</v>
      </c>
      <c r="D2" t="s">
        <v>138</v>
      </c>
      <c r="E2" t="s">
        <v>30</v>
      </c>
      <c r="F2" t="s">
        <v>142</v>
      </c>
    </row>
    <row r="3" spans="1:6" x14ac:dyDescent="0.3">
      <c r="A3" t="s">
        <v>199</v>
      </c>
      <c r="B3" t="s">
        <v>200</v>
      </c>
      <c r="C3">
        <v>0</v>
      </c>
      <c r="D3" t="s">
        <v>191</v>
      </c>
      <c r="E3" t="s">
        <v>25</v>
      </c>
      <c r="F3" t="s">
        <v>142</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62A19-258B-4821-859F-1EADF95E2D1A}">
  <sheetPr codeName="Sheet14"/>
  <dimension ref="A1:G6"/>
  <sheetViews>
    <sheetView topLeftCell="B1" workbookViewId="0">
      <selection activeCell="J19" sqref="J19"/>
    </sheetView>
  </sheetViews>
  <sheetFormatPr defaultRowHeight="14.4" x14ac:dyDescent="0.3"/>
  <cols>
    <col min="2" max="2" width="11.33203125" bestFit="1" customWidth="1"/>
    <col min="3" max="3" width="16.44140625" bestFit="1" customWidth="1"/>
    <col min="4" max="4" width="13.21875" bestFit="1" customWidth="1"/>
    <col min="5" max="5" width="11.109375" bestFit="1" customWidth="1"/>
    <col min="6" max="6" width="7.33203125" bestFit="1" customWidth="1"/>
    <col min="7" max="7" width="9.77734375" bestFit="1" customWidth="1"/>
    <col min="8" max="8" width="16.88671875" bestFit="1" customWidth="1"/>
    <col min="9" max="9" width="11.77734375" bestFit="1" customWidth="1"/>
    <col min="10" max="10" width="10.109375" bestFit="1" customWidth="1"/>
    <col min="11" max="11" width="21.109375" bestFit="1" customWidth="1"/>
    <col min="12" max="12" width="8.77734375" bestFit="1" customWidth="1"/>
    <col min="13" max="13" width="15.44140625" bestFit="1" customWidth="1"/>
    <col min="14" max="14" width="14.33203125" bestFit="1" customWidth="1"/>
    <col min="15" max="15" width="11.5546875" bestFit="1" customWidth="1"/>
    <col min="16" max="16" width="10.33203125" bestFit="1" customWidth="1"/>
  </cols>
  <sheetData>
    <row r="1" spans="1:7" x14ac:dyDescent="0.3">
      <c r="A1" s="2" t="s">
        <v>139</v>
      </c>
      <c r="B1" s="2" t="s">
        <v>12</v>
      </c>
      <c r="C1" s="2" t="s">
        <v>13</v>
      </c>
      <c r="D1" s="2" t="s">
        <v>131</v>
      </c>
      <c r="E1" s="2" t="s">
        <v>140</v>
      </c>
      <c r="F1" s="2" t="s">
        <v>141</v>
      </c>
      <c r="G1" s="2" t="s">
        <v>132</v>
      </c>
    </row>
    <row r="2" spans="1:7" x14ac:dyDescent="0.3">
      <c r="A2">
        <v>1</v>
      </c>
      <c r="B2" t="s">
        <v>3</v>
      </c>
      <c r="C2" t="s">
        <v>24</v>
      </c>
      <c r="D2">
        <v>40</v>
      </c>
      <c r="E2" s="1" t="s">
        <v>43</v>
      </c>
      <c r="F2" s="1" t="s">
        <v>25</v>
      </c>
      <c r="G2" t="s">
        <v>133</v>
      </c>
    </row>
    <row r="3" spans="1:7" x14ac:dyDescent="0.3">
      <c r="A3">
        <v>2</v>
      </c>
      <c r="B3" t="s">
        <v>8</v>
      </c>
      <c r="C3" t="s">
        <v>41</v>
      </c>
      <c r="D3">
        <v>3</v>
      </c>
      <c r="E3" t="s">
        <v>43</v>
      </c>
      <c r="F3" t="s">
        <v>25</v>
      </c>
      <c r="G3" t="s">
        <v>134</v>
      </c>
    </row>
    <row r="4" spans="1:7" x14ac:dyDescent="0.3">
      <c r="A4">
        <v>3</v>
      </c>
      <c r="B4" t="s">
        <v>44</v>
      </c>
      <c r="C4" t="s">
        <v>45</v>
      </c>
      <c r="D4">
        <v>102</v>
      </c>
      <c r="E4" t="s">
        <v>46</v>
      </c>
      <c r="F4" t="s">
        <v>25</v>
      </c>
      <c r="G4" t="s">
        <v>133</v>
      </c>
    </row>
    <row r="5" spans="1:7" x14ac:dyDescent="0.3">
      <c r="A5">
        <v>4</v>
      </c>
      <c r="B5" t="s">
        <v>135</v>
      </c>
      <c r="C5" t="s">
        <v>136</v>
      </c>
      <c r="D5">
        <v>0</v>
      </c>
      <c r="E5" t="s">
        <v>138</v>
      </c>
      <c r="F5" t="s">
        <v>29</v>
      </c>
      <c r="G5" t="s">
        <v>142</v>
      </c>
    </row>
    <row r="6" spans="1:7" x14ac:dyDescent="0.3">
      <c r="A6">
        <v>5</v>
      </c>
      <c r="B6" t="s">
        <v>143</v>
      </c>
      <c r="C6" t="s">
        <v>144</v>
      </c>
      <c r="D6">
        <v>0</v>
      </c>
      <c r="E6" t="s">
        <v>138</v>
      </c>
      <c r="F6" t="s">
        <v>30</v>
      </c>
      <c r="G6" t="s">
        <v>142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DB5CF-7B6B-463C-9DC2-CE8B56C6B726}">
  <sheetPr codeName="Sheet4"/>
  <dimension ref="A1:I12"/>
  <sheetViews>
    <sheetView workbookViewId="0">
      <selection activeCell="I8" sqref="I8"/>
    </sheetView>
  </sheetViews>
  <sheetFormatPr defaultRowHeight="14.4" x14ac:dyDescent="0.3"/>
  <cols>
    <col min="2" max="2" width="14.109375" bestFit="1" customWidth="1"/>
    <col min="3" max="3" width="11.6640625" bestFit="1" customWidth="1"/>
    <col min="4" max="4" width="21.109375" bestFit="1" customWidth="1"/>
    <col min="5" max="5" width="15.44140625" bestFit="1" customWidth="1"/>
    <col min="6" max="6" width="12.88671875" bestFit="1" customWidth="1"/>
  </cols>
  <sheetData>
    <row r="1" spans="1:9" x14ac:dyDescent="0.3">
      <c r="A1" t="s">
        <v>25</v>
      </c>
      <c r="B1" t="s">
        <v>21</v>
      </c>
      <c r="C1" t="s">
        <v>22</v>
      </c>
      <c r="D1" t="s">
        <v>50</v>
      </c>
      <c r="E1" t="s">
        <v>134</v>
      </c>
      <c r="F1" t="s">
        <v>147</v>
      </c>
      <c r="G1" t="s">
        <v>228</v>
      </c>
      <c r="H1">
        <v>2022</v>
      </c>
      <c r="I1">
        <v>2022</v>
      </c>
    </row>
    <row r="2" spans="1:9" x14ac:dyDescent="0.3">
      <c r="A2" t="s">
        <v>29</v>
      </c>
      <c r="B2" t="s">
        <v>31</v>
      </c>
      <c r="C2" t="s">
        <v>34</v>
      </c>
      <c r="D2" t="s">
        <v>51</v>
      </c>
      <c r="E2" t="s">
        <v>142</v>
      </c>
      <c r="F2" t="s">
        <v>148</v>
      </c>
      <c r="G2" t="s">
        <v>229</v>
      </c>
    </row>
    <row r="3" spans="1:9" x14ac:dyDescent="0.3">
      <c r="A3" t="s">
        <v>30</v>
      </c>
      <c r="B3" t="s">
        <v>32</v>
      </c>
      <c r="C3" t="s">
        <v>33</v>
      </c>
      <c r="D3" t="s">
        <v>52</v>
      </c>
      <c r="E3" t="s">
        <v>133</v>
      </c>
      <c r="F3" t="s">
        <v>149</v>
      </c>
      <c r="G3" t="s">
        <v>230</v>
      </c>
    </row>
    <row r="4" spans="1:9" x14ac:dyDescent="0.3">
      <c r="B4" t="s">
        <v>38</v>
      </c>
      <c r="C4" t="s">
        <v>35</v>
      </c>
      <c r="D4" t="s">
        <v>53</v>
      </c>
      <c r="G4" t="s">
        <v>231</v>
      </c>
    </row>
    <row r="5" spans="1:9" x14ac:dyDescent="0.3">
      <c r="B5" t="s">
        <v>39</v>
      </c>
      <c r="C5" t="s">
        <v>36</v>
      </c>
      <c r="D5" t="s">
        <v>54</v>
      </c>
      <c r="G5" t="s">
        <v>232</v>
      </c>
    </row>
    <row r="6" spans="1:9" x14ac:dyDescent="0.3">
      <c r="C6" t="s">
        <v>37</v>
      </c>
      <c r="G6" t="s">
        <v>233</v>
      </c>
    </row>
    <row r="7" spans="1:9" x14ac:dyDescent="0.3">
      <c r="C7" t="s">
        <v>40</v>
      </c>
      <c r="G7" t="s">
        <v>234</v>
      </c>
    </row>
    <row r="8" spans="1:9" x14ac:dyDescent="0.3">
      <c r="G8" t="s">
        <v>235</v>
      </c>
    </row>
    <row r="9" spans="1:9" x14ac:dyDescent="0.3">
      <c r="G9" t="s">
        <v>236</v>
      </c>
    </row>
    <row r="10" spans="1:9" x14ac:dyDescent="0.3">
      <c r="G10" t="s">
        <v>226</v>
      </c>
    </row>
    <row r="11" spans="1:9" x14ac:dyDescent="0.3">
      <c r="G11" t="s">
        <v>227</v>
      </c>
    </row>
    <row r="12" spans="1:9" x14ac:dyDescent="0.3">
      <c r="G12" t="s">
        <v>237</v>
      </c>
    </row>
  </sheetData>
  <phoneticPr fontId="3"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D0FA0-B44B-4BFF-812E-6F330E8E79B4}">
  <sheetPr codeName="Sheet3"/>
  <dimension ref="A1:J2"/>
  <sheetViews>
    <sheetView workbookViewId="0">
      <selection activeCell="D14" sqref="D14"/>
    </sheetView>
  </sheetViews>
  <sheetFormatPr defaultRowHeight="14.4" x14ac:dyDescent="0.3"/>
  <cols>
    <col min="1" max="1" width="10.21875" bestFit="1" customWidth="1"/>
    <col min="2" max="2" width="10.44140625" bestFit="1" customWidth="1"/>
    <col min="3" max="3" width="10.33203125" bestFit="1" customWidth="1"/>
    <col min="9" max="9" width="13.33203125" bestFit="1" customWidth="1"/>
  </cols>
  <sheetData>
    <row r="1" spans="1:10" x14ac:dyDescent="0.3">
      <c r="A1" t="s">
        <v>0</v>
      </c>
      <c r="B1" t="s">
        <v>4</v>
      </c>
      <c r="C1" t="s">
        <v>5</v>
      </c>
      <c r="I1" t="s">
        <v>176</v>
      </c>
      <c r="J1" t="s">
        <v>308</v>
      </c>
    </row>
    <row r="2" spans="1:10" x14ac:dyDescent="0.3">
      <c r="A2">
        <v>1</v>
      </c>
      <c r="B2" t="s">
        <v>308</v>
      </c>
      <c r="C2" t="s">
        <v>308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52CB-4AF2-4512-B545-27709466E457}">
  <sheetPr codeName="Sheet16"/>
  <dimension ref="A1:E14"/>
  <sheetViews>
    <sheetView workbookViewId="0">
      <selection activeCell="L24" sqref="L24"/>
    </sheetView>
  </sheetViews>
  <sheetFormatPr defaultRowHeight="14.4" x14ac:dyDescent="0.3"/>
  <cols>
    <col min="1" max="1" width="10.21875" bestFit="1" customWidth="1"/>
    <col min="2" max="2" width="10.44140625" bestFit="1" customWidth="1"/>
    <col min="3" max="3" width="10.5546875" bestFit="1" customWidth="1"/>
    <col min="4" max="5" width="11.33203125" bestFit="1" customWidth="1"/>
  </cols>
  <sheetData>
    <row r="1" spans="1:5" x14ac:dyDescent="0.3">
      <c r="A1" t="s">
        <v>0</v>
      </c>
      <c r="B1" t="s">
        <v>4</v>
      </c>
      <c r="C1" t="s">
        <v>175</v>
      </c>
      <c r="D1" t="s">
        <v>173</v>
      </c>
      <c r="E1" t="s">
        <v>174</v>
      </c>
    </row>
    <row r="2" spans="1:5" x14ac:dyDescent="0.3">
      <c r="A2">
        <v>1</v>
      </c>
      <c r="B2" t="s">
        <v>6</v>
      </c>
      <c r="C2" s="1">
        <v>44881</v>
      </c>
      <c r="D2" s="20">
        <v>0.78785879629629629</v>
      </c>
      <c r="E2" s="20">
        <v>0.79228009259259258</v>
      </c>
    </row>
    <row r="3" spans="1:5" x14ac:dyDescent="0.3">
      <c r="A3">
        <v>2</v>
      </c>
      <c r="B3" t="s">
        <v>130</v>
      </c>
      <c r="C3" s="1">
        <v>44901</v>
      </c>
      <c r="D3" s="20">
        <v>0.53076388888888892</v>
      </c>
      <c r="E3" s="20">
        <v>0.67484953703703709</v>
      </c>
    </row>
    <row r="4" spans="1:5" x14ac:dyDescent="0.3">
      <c r="A4">
        <v>3</v>
      </c>
      <c r="B4" t="s">
        <v>6</v>
      </c>
      <c r="C4" s="1">
        <v>44907</v>
      </c>
      <c r="D4" s="20">
        <v>0.60755787037037035</v>
      </c>
      <c r="E4" s="20">
        <v>0.60777777777777775</v>
      </c>
    </row>
    <row r="5" spans="1:5" x14ac:dyDescent="0.3">
      <c r="A5">
        <v>4</v>
      </c>
      <c r="B5" t="s">
        <v>6</v>
      </c>
      <c r="C5" s="1">
        <v>44907</v>
      </c>
      <c r="D5" s="20">
        <v>0.61788194444444444</v>
      </c>
      <c r="E5" s="20">
        <v>0.65442129629629631</v>
      </c>
    </row>
    <row r="6" spans="1:5" x14ac:dyDescent="0.3">
      <c r="A6">
        <v>5</v>
      </c>
      <c r="B6" t="s">
        <v>308</v>
      </c>
      <c r="C6" s="1">
        <v>44907</v>
      </c>
      <c r="D6" s="20">
        <v>0.65530092592592593</v>
      </c>
      <c r="E6" s="20">
        <v>0.65537037037037038</v>
      </c>
    </row>
    <row r="7" spans="1:5" x14ac:dyDescent="0.3">
      <c r="A7">
        <v>6</v>
      </c>
      <c r="B7" t="s">
        <v>308</v>
      </c>
      <c r="C7" s="1">
        <v>44908</v>
      </c>
      <c r="D7" s="20">
        <v>0.25130787037037033</v>
      </c>
      <c r="E7" s="20">
        <v>0.2525810185185185</v>
      </c>
    </row>
    <row r="8" spans="1:5" x14ac:dyDescent="0.3">
      <c r="A8">
        <v>7</v>
      </c>
      <c r="B8" t="s">
        <v>308</v>
      </c>
      <c r="C8" s="1">
        <v>44908</v>
      </c>
      <c r="D8" s="20">
        <v>0.25771990740740741</v>
      </c>
      <c r="E8" s="20">
        <v>0.25813657407407409</v>
      </c>
    </row>
    <row r="9" spans="1:5" x14ac:dyDescent="0.3">
      <c r="A9">
        <v>8</v>
      </c>
      <c r="B9" t="s">
        <v>308</v>
      </c>
      <c r="C9" s="1">
        <v>44908</v>
      </c>
      <c r="D9" s="20">
        <v>0.26583333333333331</v>
      </c>
      <c r="E9" s="20">
        <v>0.26597222222222222</v>
      </c>
    </row>
    <row r="10" spans="1:5" x14ac:dyDescent="0.3">
      <c r="A10">
        <v>9</v>
      </c>
      <c r="B10" t="s">
        <v>308</v>
      </c>
      <c r="C10" s="1">
        <v>44908</v>
      </c>
      <c r="D10" s="20">
        <v>0.27107638888888891</v>
      </c>
      <c r="E10" s="20">
        <v>0.27119212962962963</v>
      </c>
    </row>
    <row r="11" spans="1:5" x14ac:dyDescent="0.3">
      <c r="A11">
        <v>10</v>
      </c>
      <c r="B11" t="s">
        <v>308</v>
      </c>
      <c r="C11" s="1">
        <v>44908</v>
      </c>
      <c r="D11" s="20">
        <v>0.28313657407407405</v>
      </c>
      <c r="E11" s="20">
        <v>0.28848379629629628</v>
      </c>
    </row>
    <row r="12" spans="1:5" x14ac:dyDescent="0.3">
      <c r="C12" s="1"/>
      <c r="D12" s="20"/>
    </row>
    <row r="13" spans="1:5" x14ac:dyDescent="0.3">
      <c r="C13" s="1"/>
      <c r="D13" s="20"/>
      <c r="E13" s="20"/>
    </row>
    <row r="14" spans="1:5" x14ac:dyDescent="0.3">
      <c r="C14" s="1"/>
      <c r="D14" s="20"/>
      <c r="E14" s="2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247FE-BE30-44B8-B083-00CA26589BEF}">
  <dimension ref="A3:B12"/>
  <sheetViews>
    <sheetView workbookViewId="0"/>
  </sheetViews>
  <sheetFormatPr defaultRowHeight="14.4" x14ac:dyDescent="0.3"/>
  <cols>
    <col min="1" max="1" width="12.5546875" bestFit="1" customWidth="1"/>
    <col min="2" max="2" width="11.88671875" bestFit="1" customWidth="1"/>
  </cols>
  <sheetData>
    <row r="3" spans="1:2" x14ac:dyDescent="0.3">
      <c r="A3" s="24" t="s">
        <v>223</v>
      </c>
      <c r="B3" t="s">
        <v>225</v>
      </c>
    </row>
    <row r="4" spans="1:2" x14ac:dyDescent="0.3">
      <c r="A4" s="25" t="s">
        <v>240</v>
      </c>
      <c r="B4" s="27">
        <v>70000</v>
      </c>
    </row>
    <row r="5" spans="1:2" x14ac:dyDescent="0.3">
      <c r="A5" s="25" t="s">
        <v>241</v>
      </c>
      <c r="B5" s="27">
        <v>25500</v>
      </c>
    </row>
    <row r="6" spans="1:2" x14ac:dyDescent="0.3">
      <c r="A6" s="25" t="s">
        <v>238</v>
      </c>
      <c r="B6" s="27">
        <v>40602</v>
      </c>
    </row>
    <row r="7" spans="1:2" x14ac:dyDescent="0.3">
      <c r="A7" s="25" t="s">
        <v>242</v>
      </c>
      <c r="B7" s="27">
        <v>86857</v>
      </c>
    </row>
    <row r="8" spans="1:2" x14ac:dyDescent="0.3">
      <c r="A8" s="25" t="s">
        <v>243</v>
      </c>
      <c r="B8" s="27">
        <v>0</v>
      </c>
    </row>
    <row r="9" spans="1:2" x14ac:dyDescent="0.3">
      <c r="A9" s="25" t="s">
        <v>256</v>
      </c>
      <c r="B9" s="27">
        <v>79600</v>
      </c>
    </row>
    <row r="10" spans="1:2" x14ac:dyDescent="0.3">
      <c r="A10" s="25" t="s">
        <v>289</v>
      </c>
      <c r="B10" s="27">
        <v>21200</v>
      </c>
    </row>
    <row r="11" spans="1:2" x14ac:dyDescent="0.3">
      <c r="A11" s="25" t="s">
        <v>302</v>
      </c>
      <c r="B11" s="27">
        <v>33600</v>
      </c>
    </row>
    <row r="12" spans="1:2" x14ac:dyDescent="0.3">
      <c r="A12" s="25" t="s">
        <v>224</v>
      </c>
      <c r="B12" s="27">
        <v>357359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EC0E1-0474-411D-8D3E-05A46F4D14AD}">
  <dimension ref="A3:B13"/>
  <sheetViews>
    <sheetView workbookViewId="0"/>
  </sheetViews>
  <sheetFormatPr defaultRowHeight="14.4" x14ac:dyDescent="0.3"/>
  <cols>
    <col min="1" max="1" width="12.5546875" bestFit="1" customWidth="1"/>
    <col min="2" max="2" width="11.88671875" bestFit="1" customWidth="1"/>
  </cols>
  <sheetData>
    <row r="3" spans="1:2" x14ac:dyDescent="0.3">
      <c r="A3" s="24" t="s">
        <v>223</v>
      </c>
      <c r="B3" t="s">
        <v>225</v>
      </c>
    </row>
    <row r="4" spans="1:2" x14ac:dyDescent="0.3">
      <c r="A4" s="25" t="s">
        <v>240</v>
      </c>
      <c r="B4" s="27">
        <v>154000</v>
      </c>
    </row>
    <row r="5" spans="1:2" x14ac:dyDescent="0.3">
      <c r="A5" s="25" t="s">
        <v>241</v>
      </c>
      <c r="B5" s="27">
        <v>1058713</v>
      </c>
    </row>
    <row r="6" spans="1:2" x14ac:dyDescent="0.3">
      <c r="A6" s="25" t="s">
        <v>238</v>
      </c>
      <c r="B6" s="27">
        <v>170367</v>
      </c>
    </row>
    <row r="7" spans="1:2" x14ac:dyDescent="0.3">
      <c r="A7" s="25" t="s">
        <v>239</v>
      </c>
      <c r="B7" s="27">
        <v>0</v>
      </c>
    </row>
    <row r="8" spans="1:2" x14ac:dyDescent="0.3">
      <c r="A8" s="25" t="s">
        <v>288</v>
      </c>
      <c r="B8" s="27">
        <v>30000</v>
      </c>
    </row>
    <row r="9" spans="1:2" x14ac:dyDescent="0.3">
      <c r="A9" s="25" t="s">
        <v>256</v>
      </c>
      <c r="B9" s="27">
        <v>9600</v>
      </c>
    </row>
    <row r="10" spans="1:2" x14ac:dyDescent="0.3">
      <c r="A10" s="25" t="s">
        <v>289</v>
      </c>
      <c r="B10" s="27">
        <v>51600</v>
      </c>
    </row>
    <row r="11" spans="1:2" x14ac:dyDescent="0.3">
      <c r="A11" s="25" t="s">
        <v>297</v>
      </c>
      <c r="B11" s="27">
        <v>1500</v>
      </c>
    </row>
    <row r="12" spans="1:2" x14ac:dyDescent="0.3">
      <c r="A12" s="25" t="s">
        <v>302</v>
      </c>
      <c r="B12" s="27">
        <v>600</v>
      </c>
    </row>
    <row r="13" spans="1:2" x14ac:dyDescent="0.3">
      <c r="A13" s="25" t="s">
        <v>224</v>
      </c>
      <c r="B13" s="27">
        <v>1476380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A22EC-2A40-4FE3-927C-734CC93280F2}">
  <dimension ref="A1:I8"/>
  <sheetViews>
    <sheetView tabSelected="1" workbookViewId="0"/>
  </sheetViews>
  <sheetFormatPr defaultRowHeight="14.4" x14ac:dyDescent="0.3"/>
  <sheetData>
    <row r="1" spans="1:9" x14ac:dyDescent="0.3">
      <c r="A1" t="s">
        <v>13</v>
      </c>
      <c r="B1" t="s">
        <v>7</v>
      </c>
      <c r="C1" t="s">
        <v>157</v>
      </c>
      <c r="D1" t="s">
        <v>47</v>
      </c>
      <c r="E1" t="s">
        <v>9</v>
      </c>
      <c r="H1" t="s">
        <v>64</v>
      </c>
      <c r="I1" t="s">
        <v>19</v>
      </c>
    </row>
    <row r="2" spans="1:9" x14ac:dyDescent="0.3">
      <c r="A2" s="6" t="s">
        <v>144</v>
      </c>
      <c r="B2" s="4">
        <v>3</v>
      </c>
      <c r="C2" s="19">
        <v>1500</v>
      </c>
      <c r="D2" s="6" t="s">
        <v>138</v>
      </c>
      <c r="E2" s="1">
        <v>44881</v>
      </c>
      <c r="H2" t="s">
        <v>51</v>
      </c>
    </row>
    <row r="3" spans="1:9" x14ac:dyDescent="0.3">
      <c r="A3" s="6" t="s">
        <v>24</v>
      </c>
      <c r="B3" s="4">
        <v>3</v>
      </c>
      <c r="C3" s="19">
        <v>20301</v>
      </c>
      <c r="D3" s="6" t="s">
        <v>43</v>
      </c>
      <c r="E3" s="1">
        <v>44881</v>
      </c>
    </row>
    <row r="4" spans="1:9" x14ac:dyDescent="0.3">
      <c r="A4" s="6" t="s">
        <v>24</v>
      </c>
      <c r="B4" s="4">
        <v>8</v>
      </c>
      <c r="C4" s="19">
        <v>56000</v>
      </c>
      <c r="D4" s="6" t="s">
        <v>43</v>
      </c>
      <c r="E4" s="1">
        <v>44898</v>
      </c>
    </row>
    <row r="5" spans="1:9" x14ac:dyDescent="0.3">
      <c r="A5" s="6" t="s">
        <v>24</v>
      </c>
      <c r="B5" s="4">
        <v>4</v>
      </c>
      <c r="C5" s="19">
        <v>22400</v>
      </c>
      <c r="D5" s="6" t="s">
        <v>43</v>
      </c>
      <c r="E5" s="1">
        <v>44898</v>
      </c>
    </row>
    <row r="6" spans="1:9" x14ac:dyDescent="0.3">
      <c r="A6" s="6" t="s">
        <v>258</v>
      </c>
      <c r="B6" s="4">
        <v>6</v>
      </c>
      <c r="C6" s="19">
        <v>1200</v>
      </c>
      <c r="D6" s="6" t="s">
        <v>191</v>
      </c>
      <c r="E6" s="1">
        <v>44898</v>
      </c>
    </row>
    <row r="7" spans="1:9" x14ac:dyDescent="0.3">
      <c r="A7" s="6" t="s">
        <v>136</v>
      </c>
      <c r="B7" s="4">
        <v>2</v>
      </c>
      <c r="C7" s="19">
        <v>1200</v>
      </c>
      <c r="D7" s="6" t="s">
        <v>138</v>
      </c>
      <c r="E7" s="1">
        <v>44899</v>
      </c>
    </row>
    <row r="8" spans="1:9" x14ac:dyDescent="0.3">
      <c r="A8" s="6" t="s">
        <v>24</v>
      </c>
      <c r="B8" s="4">
        <v>6</v>
      </c>
      <c r="C8" s="19">
        <v>33600</v>
      </c>
      <c r="D8" s="6" t="s">
        <v>43</v>
      </c>
      <c r="E8" s="1">
        <v>44904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Database</vt:lpstr>
      <vt:lpstr>Alert</vt:lpstr>
      <vt:lpstr>Show_alert</vt:lpstr>
      <vt:lpstr>Stockup_log</vt:lpstr>
      <vt:lpstr>Stockup_logi</vt:lpstr>
      <vt:lpstr>Plot_stockup</vt:lpstr>
      <vt:lpstr>plot_table</vt:lpstr>
      <vt:lpstr>Requisition_log</vt:lpstr>
      <vt:lpstr>Center_requisition</vt:lpstr>
      <vt:lpstr>Requisition_logi</vt:lpstr>
      <vt:lpstr>Requisition_temp</vt:lpstr>
      <vt:lpstr>Stockup_temp</vt:lpstr>
      <vt:lpstr>Pending_cost</vt:lpstr>
      <vt:lpstr>Blanks</vt:lpstr>
      <vt:lpstr>plot_table2</vt:lpstr>
      <vt:lpstr>Master_list</vt:lpstr>
      <vt:lpstr>Order_status</vt:lpstr>
      <vt:lpstr>Show_OrderSatus</vt:lpstr>
      <vt:lpstr>Filter_ground</vt:lpstr>
      <vt:lpstr>Variables</vt:lpstr>
      <vt:lpstr>Admins</vt:lpstr>
      <vt:lpstr>Admin_log</vt:lpstr>
      <vt:lpstr>requisition_plot_table</vt:lpstr>
      <vt:lpstr>Stockup_plot_table</vt:lpstr>
      <vt:lpstr>center_req</vt:lpstr>
      <vt:lpstr>Alert!Criteria</vt:lpstr>
      <vt:lpstr>center_req!Criteria</vt:lpstr>
      <vt:lpstr>Center_requisition!Criteria</vt:lpstr>
      <vt:lpstr>Pending_cost!Criteria</vt:lpstr>
      <vt:lpstr>Requisition_log!Criteria</vt:lpstr>
      <vt:lpstr>Requisition_logi!Criteria</vt:lpstr>
      <vt:lpstr>Stockup_logi!Criteria</vt:lpstr>
      <vt:lpstr>Alert!Extract</vt:lpstr>
      <vt:lpstr>center_req!Extract</vt:lpstr>
      <vt:lpstr>Center_requisition!Extract</vt:lpstr>
      <vt:lpstr>Filter_ground!Extract</vt:lpstr>
      <vt:lpstr>Pending_cost!Extract</vt:lpstr>
      <vt:lpstr>Requisition_log!Extract</vt:lpstr>
      <vt:lpstr>Requisition_logi!Extract</vt:lpstr>
      <vt:lpstr>Show_alert!Extract</vt:lpstr>
      <vt:lpstr>Show_OrderSatus!Extract</vt:lpstr>
      <vt:lpstr>Stockup_logi!Extract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Oluwasola</dc:creator>
  <cp:lastModifiedBy>Oluwasola</cp:lastModifiedBy>
  <cp:lastPrinted>2022-12-09T14:40:38Z</cp:lastPrinted>
  <dcterms:created xsi:type="dcterms:W3CDTF">2022-09-01T12:51:25Z</dcterms:created>
  <dcterms:modified xsi:type="dcterms:W3CDTF">2022-12-13T05:55:26Z</dcterms:modified>
</cp:coreProperties>
</file>
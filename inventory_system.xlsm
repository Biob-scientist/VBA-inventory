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luwasola\Desktop\IMS project\"/>
    </mc:Choice>
  </mc:AlternateContent>
  <xr:revisionPtr revIDLastSave="0" documentId="13_ncr:1_{57B560F7-FC71-4CF8-A78A-4AB6ECF2316F}" xr6:coauthVersionLast="47" xr6:coauthVersionMax="47" xr10:uidLastSave="{00000000-0000-0000-0000-000000000000}"/>
  <bookViews>
    <workbookView minimized="1" xWindow="7884" yWindow="408" windowWidth="10872" windowHeight="11952" activeTab="1" xr2:uid="{CB48C9D4-9AAF-4B10-A493-5AC4B560267D}"/>
  </bookViews>
  <sheets>
    <sheet name="Database" sheetId="1" r:id="rId1"/>
    <sheet name="Stockup_log" sheetId="4" r:id="rId2"/>
    <sheet name="stockup_temp" sheetId="5" r:id="rId3"/>
    <sheet name="Requisition_log" sheetId="6" r:id="rId4"/>
    <sheet name="req_temp" sheetId="7" r:id="rId5"/>
    <sheet name="Admins" sheetId="3" r:id="rId6"/>
    <sheet name="Variables" sheetId="2" r:id="rId7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4" i="2" l="1"/>
  <c r="D2" i="2"/>
</calcChain>
</file>

<file path=xl/sharedStrings.xml><?xml version="1.0" encoding="utf-8"?>
<sst xmlns="http://schemas.openxmlformats.org/spreadsheetml/2006/main" count="351" uniqueCount="219">
  <si>
    <t>COSTUME_ID</t>
  </si>
  <si>
    <t>SERIAL_NO</t>
  </si>
  <si>
    <t>NOMENCLATURE</t>
  </si>
  <si>
    <t>DEPARTMENT</t>
  </si>
  <si>
    <t>DOMAIN</t>
  </si>
  <si>
    <t>MIN_LEVEL</t>
  </si>
  <si>
    <t>UNIT_PRICE</t>
  </si>
  <si>
    <t>NEAREST EXPIRY</t>
  </si>
  <si>
    <t>LAST_CHANGES_DATE</t>
  </si>
  <si>
    <t>DAYS_LEFT_TO_EXPIRE</t>
  </si>
  <si>
    <t>LEVEL_STATUS</t>
  </si>
  <si>
    <t>EXPIRY_STATUS</t>
  </si>
  <si>
    <t>DATE_CREATED</t>
  </si>
  <si>
    <t>Stockup_log</t>
  </si>
  <si>
    <t>Requisition_log</t>
  </si>
  <si>
    <t>Database</t>
  </si>
  <si>
    <t>PATHOLOGY</t>
  </si>
  <si>
    <t>RADIOLOGY</t>
  </si>
  <si>
    <t>CARDIOLOGY</t>
  </si>
  <si>
    <t>GENERAL</t>
  </si>
  <si>
    <t>SUNDRY</t>
  </si>
  <si>
    <t>CHEMISTRY</t>
  </si>
  <si>
    <t>HAEMATOLOGY</t>
  </si>
  <si>
    <t>SEROLOGY</t>
  </si>
  <si>
    <t>MICROBIOLOGY</t>
  </si>
  <si>
    <t>PROCESSING UNIT</t>
  </si>
  <si>
    <t>X-STRAY</t>
  </si>
  <si>
    <t>ULTRASOUND</t>
  </si>
  <si>
    <t>FRONR DESK</t>
  </si>
  <si>
    <t>HSG</t>
  </si>
  <si>
    <t>ERBA ALBUMIN 440</t>
  </si>
  <si>
    <t>ERBA ALP 110</t>
  </si>
  <si>
    <t>ERBA ALT 330</t>
  </si>
  <si>
    <t>ERBA AST/GOT</t>
  </si>
  <si>
    <t>ERBA BILIRUBIN DIRECT</t>
  </si>
  <si>
    <t>ERBA BILIRUBIN TOTAL 330</t>
  </si>
  <si>
    <t>ERBA CHOLESTEROL 440</t>
  </si>
  <si>
    <t>ERBA CREATININE 275</t>
  </si>
  <si>
    <t>ERBA GGT 110</t>
  </si>
  <si>
    <t>ERBA GLUCOSE</t>
  </si>
  <si>
    <t>ERBA HDL RGT 160</t>
  </si>
  <si>
    <t>ERBA TOTAL PROTEIN</t>
  </si>
  <si>
    <t>ERBA TRIGLYCERIDES XL 1000</t>
  </si>
  <si>
    <t>ERBA UREA 275</t>
  </si>
  <si>
    <t>ERBA XL WASH</t>
  </si>
  <si>
    <t>ERBA PROTIME</t>
  </si>
  <si>
    <t>ERBA CALCIUM CHLORIDE</t>
  </si>
  <si>
    <t>ERBA CONTROL N</t>
  </si>
  <si>
    <t>ERBA CONTROL P</t>
  </si>
  <si>
    <t>ESR TUBE</t>
  </si>
  <si>
    <t>VDRL(DIASPOT)</t>
  </si>
  <si>
    <t>BETA HCG</t>
  </si>
  <si>
    <t>FAECAL OCCULT BLOOD</t>
  </si>
  <si>
    <t>STAT PAK</t>
  </si>
  <si>
    <t>DETERMINE</t>
  </si>
  <si>
    <t>MALARIA(ONSITE CTK)</t>
  </si>
  <si>
    <t>UNI-GOLD</t>
  </si>
  <si>
    <t>HBV(DIASPOT)</t>
  </si>
  <si>
    <t>HCV(DIASPOT)</t>
  </si>
  <si>
    <t>FIELDS STAIN A</t>
  </si>
  <si>
    <t>FIELDS STAIN B</t>
  </si>
  <si>
    <t>COVERSLIP(22*22)</t>
  </si>
  <si>
    <t>FROSTED SLIDE</t>
  </si>
  <si>
    <t>WIRE LOOP (DISPOSABLE)</t>
  </si>
  <si>
    <t>SCALP VIEN NEEDLE 23G</t>
  </si>
  <si>
    <t>MLS SYRINGE &amp; NEEDLE</t>
  </si>
  <si>
    <t>MLS HYPOJET SYRINGE</t>
  </si>
  <si>
    <t>VACUTAINER NEEDLE(21G)</t>
  </si>
  <si>
    <t>TOURNIQUET</t>
  </si>
  <si>
    <t>STERILE URINE CONTAINER</t>
  </si>
  <si>
    <t>STERILE STOOL CONTAINER</t>
  </si>
  <si>
    <t>EDTA VACUTAINER BOTTLE</t>
  </si>
  <si>
    <t>LH VACUTAINER BOTTLE</t>
  </si>
  <si>
    <t>SST VACUTAINER BOTTLE</t>
  </si>
  <si>
    <t>FLOURIDE OXALATE VACUT BTTLE</t>
  </si>
  <si>
    <t>PLAIN VACUTAINER BTTLE</t>
  </si>
  <si>
    <t>DIRUI URINE STRIP</t>
  </si>
  <si>
    <t>SHARP BOX</t>
  </si>
  <si>
    <t>LITRE URINE KEG</t>
  </si>
  <si>
    <t>SODIUM CITRATE BTTLE</t>
  </si>
  <si>
    <t>H.PYLORI (SERUM)</t>
  </si>
  <si>
    <t>STERILE VAGINAL SPECULUM (L)</t>
  </si>
  <si>
    <t>STERILE VAGINAL SPECULUM (M)</t>
  </si>
  <si>
    <t>PLAIN MICROSCOPE SLIDE</t>
  </si>
  <si>
    <t>TB SEROLOGY KIT</t>
  </si>
  <si>
    <t>H.PYLORI(STOOL)</t>
  </si>
  <si>
    <t>BD LBC BOTTLES</t>
  </si>
  <si>
    <t>WIDAL KIT</t>
  </si>
  <si>
    <t>HEPATITIS A KIT</t>
  </si>
  <si>
    <t>X14 AGFA FILM</t>
  </si>
  <si>
    <t>X1O AGFA FILM</t>
  </si>
  <si>
    <t>WIPES</t>
  </si>
  <si>
    <t>K-Y GEL</t>
  </si>
  <si>
    <t>ECG ELECTRODES</t>
  </si>
  <si>
    <t>ECG PAPER(CONTEC)</t>
  </si>
  <si>
    <t>PENTAZOCINE</t>
  </si>
  <si>
    <t>HYOSCINE</t>
  </si>
  <si>
    <t>TWIN MARKER</t>
  </si>
  <si>
    <t>HAND GLOVES</t>
  </si>
  <si>
    <t>DISPOSABLE LABORATORY GOWN</t>
  </si>
  <si>
    <t>HAND SANITIZER</t>
  </si>
  <si>
    <t>FACE MASK</t>
  </si>
  <si>
    <t>SAVLON</t>
  </si>
  <si>
    <t>METHYLATED SPIRIT</t>
  </si>
  <si>
    <t>MEDICAL COUCH ROLL</t>
  </si>
  <si>
    <t>COTTON WOOL</t>
  </si>
  <si>
    <t>INSECTICIDE</t>
  </si>
  <si>
    <t>LETTERHEAD PAPER</t>
  </si>
  <si>
    <t>A4 PAPER</t>
  </si>
  <si>
    <t>LETTERHEAD ENVELOPES</t>
  </si>
  <si>
    <t>TISSUE PAPER</t>
  </si>
  <si>
    <t>PEN (ANY COLOR)</t>
  </si>
  <si>
    <t>BRANDED NYLON</t>
  </si>
  <si>
    <t>A4 ENVELOPES</t>
  </si>
  <si>
    <t>BARCODE PAPER</t>
  </si>
  <si>
    <t>A3 ENVELOPES (BIG FILM JACKET)</t>
  </si>
  <si>
    <t>RULER</t>
  </si>
  <si>
    <t>MASKING TAPE</t>
  </si>
  <si>
    <t>MINDRAY TOTAL CHOLESTEROL KIT</t>
  </si>
  <si>
    <t>MINDRAY BILIRUBIN DIRECT KIT</t>
  </si>
  <si>
    <t>MINDRAY LDL-C KIT</t>
  </si>
  <si>
    <t>MINDRAY HDL-C KIT</t>
  </si>
  <si>
    <t>MINDRAY BILIRUBIN TOTAL KIT</t>
  </si>
  <si>
    <t>MINDRAY SGPT</t>
  </si>
  <si>
    <t>MINDRAY SGOPT</t>
  </si>
  <si>
    <t>MINDRAY TRIGLYCERIDE  TG</t>
  </si>
  <si>
    <t>MINDRAY UREA</t>
  </si>
  <si>
    <t>MINDRAY ALP</t>
  </si>
  <si>
    <t>MINDRAY GGT</t>
  </si>
  <si>
    <t>MINDRAY GLUCOSE</t>
  </si>
  <si>
    <t>MINDRAY CREATININE REAGENT</t>
  </si>
  <si>
    <t>MINDRAY TOTAL PROTEIN TP</t>
  </si>
  <si>
    <t>MINDRAY URIC ACID</t>
  </si>
  <si>
    <t>URIT D46 DIFF DETERGENT (5PART)</t>
  </si>
  <si>
    <t>URIT 5S11 DIFF SHEATH (5PART)</t>
  </si>
  <si>
    <t>URIT HQ 5DIFF HEMA CONTROL</t>
  </si>
  <si>
    <t>RETICULOCYTE STAIN</t>
  </si>
  <si>
    <t>URIT 3 PART DIFF DILUENT</t>
  </si>
  <si>
    <t>BIJOU BOTTLES</t>
  </si>
  <si>
    <t>CULTURE SWAB STICK</t>
  </si>
  <si>
    <t>ULTRASOUND GEL</t>
  </si>
  <si>
    <t>HIGLOSSY FILM</t>
  </si>
  <si>
    <t>DICLOFENAC</t>
  </si>
  <si>
    <t>GOLDEN CIRCLE CONDOM</t>
  </si>
  <si>
    <t>BIOHARD SAMPLE BAG</t>
  </si>
  <si>
    <t>TDR BLOOD CULTURE BTTLE(AEROBIC)</t>
  </si>
  <si>
    <t>TDR BLOOD CULTURE BTTLE(ANEROBIC)</t>
  </si>
  <si>
    <t>TDR PAEDIATRIC BLOOD CULTURE BOTTLE</t>
  </si>
  <si>
    <t>MANTOUX RGT</t>
  </si>
  <si>
    <t>ERBA NORM</t>
  </si>
  <si>
    <t>ERBA PATH</t>
  </si>
  <si>
    <t>ERBA LYTE NACONDITIONER</t>
  </si>
  <si>
    <t>ERBA REF. ELECTROLYTE FILL SOLUTION</t>
  </si>
  <si>
    <t>URIT 5D11 DIFF DILUENT (5PART)</t>
  </si>
  <si>
    <t>ZIPLOC BAG (LARGE)</t>
  </si>
  <si>
    <t>ZIPLOC BAG (MEDIUM)</t>
  </si>
  <si>
    <t>SCISSORS</t>
  </si>
  <si>
    <t>AIR FRESHNER</t>
  </si>
  <si>
    <t>STAPLE PINS</t>
  </si>
  <si>
    <t>STAPLER MACHINE</t>
  </si>
  <si>
    <t>RUBBER BANDS</t>
  </si>
  <si>
    <t>PERMANENT MARKER</t>
  </si>
  <si>
    <t>STICKY NOTE</t>
  </si>
  <si>
    <t>THERMAL PRINTING PAPER</t>
  </si>
  <si>
    <t>CELLOTAPE</t>
  </si>
  <si>
    <t>CORRECTION PEN</t>
  </si>
  <si>
    <t>BLOCK AIR FRESHNER</t>
  </si>
  <si>
    <t>ERASER</t>
  </si>
  <si>
    <t>PIPETTE TIPS (YELLOW)</t>
  </si>
  <si>
    <t>BOIL PLASTER</t>
  </si>
  <si>
    <t>PROTECTIVE EYE GOGGLE</t>
  </si>
  <si>
    <t>JIK</t>
  </si>
  <si>
    <t>SERVIETTES</t>
  </si>
  <si>
    <t>DISPOSABLE CAP</t>
  </si>
  <si>
    <t>CROC</t>
  </si>
  <si>
    <t>DISPOSABLE SHOE COVER</t>
  </si>
  <si>
    <t>DISPOSABLE BEDCOVER</t>
  </si>
  <si>
    <t>DISPOSABLE COVERALL</t>
  </si>
  <si>
    <t>PT1</t>
  </si>
  <si>
    <t>Pathology</t>
  </si>
  <si>
    <t>Chemistry</t>
  </si>
  <si>
    <t>PT3</t>
  </si>
  <si>
    <t>PT4</t>
  </si>
  <si>
    <t>PT5</t>
  </si>
  <si>
    <t>Computer</t>
  </si>
  <si>
    <t>USERNAME</t>
  </si>
  <si>
    <t>PASSWORD</t>
  </si>
  <si>
    <t>Oluwasola</t>
  </si>
  <si>
    <t>aduewa</t>
  </si>
  <si>
    <t>Aduewa</t>
  </si>
  <si>
    <t>jetmark</t>
  </si>
  <si>
    <t>Chidinma</t>
  </si>
  <si>
    <t>adaobi</t>
  </si>
  <si>
    <t>Omorovan</t>
  </si>
  <si>
    <t>cyril</t>
  </si>
  <si>
    <t>sola66</t>
  </si>
  <si>
    <t>Adureke</t>
  </si>
  <si>
    <t>sola1234</t>
  </si>
  <si>
    <t>Jenifer</t>
  </si>
  <si>
    <t>okereke</t>
  </si>
  <si>
    <t>QUANTITY</t>
  </si>
  <si>
    <t>PT2</t>
  </si>
  <si>
    <t>Select</t>
  </si>
  <si>
    <t>VI</t>
  </si>
  <si>
    <t>Above</t>
  </si>
  <si>
    <t>Below</t>
  </si>
  <si>
    <t>Stock out</t>
  </si>
  <si>
    <t>TOTAL PRICE</t>
  </si>
  <si>
    <t>FLOAT_ PRICE</t>
  </si>
  <si>
    <t>QTY</t>
  </si>
  <si>
    <t>TOTAL QTY</t>
  </si>
  <si>
    <t>COST</t>
  </si>
  <si>
    <t>ENTRY DATE</t>
  </si>
  <si>
    <t>S/NO</t>
  </si>
  <si>
    <t>DEDUCTIONS</t>
  </si>
  <si>
    <t xml:space="preserve"> QTY LEFT</t>
  </si>
  <si>
    <t>QTY LEFT</t>
  </si>
  <si>
    <t>Israel ogunmola</t>
  </si>
  <si>
    <t>12345f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</si>
</sst>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₦-470]#,##0.00"/>
    <numFmt numFmtId="165" formatCode="[$₦-466]\ #,##0.00"/>
    <numFmt numFmtId="166" formatCode="[$₦-46A]#,##0.00"/>
    <numFmt numFmtId="167" formatCode="[$₦-468]\ #,##0.00"/>
  </numFmts>
  <fonts count="3">
    <font>
      <sz val="11"/>
      <color theme="1"/>
      <name val="Calibri"/>
      <family val="2"/>
      <scheme val="minor"/>
    </font>
    <font>
      <sz val="10"/>
      <color theme="1"/>
      <name val="Var(--jp-code-font-family)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Alignment="1">
      <alignment horizontal="left" vertical="center"/>
    </xf>
    <xf numFmtId="14" fontId="0" fillId="0" borderId="0" xfId="0" applyNumberFormat="1"/>
    <xf numFmtId="2" fontId="0" fillId="0" borderId="0" xfId="0" applyNumberFormat="1"/>
    <xf numFmtId="15" fontId="0" fillId="0" borderId="0" xfId="0" applyNumberFormat="1"/>
    <xf numFmtId="164" fontId="0" fillId="0" borderId="0" xfId="0" applyNumberFormat="1"/>
    <xf numFmtId="0" fontId="2" fillId="0" borderId="0" xfId="0" applyFont="1"/>
    <xf numFmtId="164" fontId="2" fillId="0" borderId="0" xfId="0" applyNumberFormat="1" applyFont="1"/>
    <xf numFmtId="2" fontId="2" fillId="0" borderId="0" xfId="0" applyNumberFormat="1" applyFont="1"/>
    <xf numFmtId="165" fontId="0" fillId="0" borderId="0" xfId="0" applyNumberFormat="1"/>
    <xf numFmtId="166" fontId="2" fillId="0" borderId="0" xfId="0" applyNumberFormat="1" applyFont="1"/>
    <xf numFmtId="166" fontId="0" fillId="0" borderId="0" xfId="0" applyNumberFormat="1"/>
    <xf numFmtId="167" fontId="2" fillId="0" borderId="0" xfId="0" applyNumberFormat="1" applyFont="1"/>
    <xf numFmtId="167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72E3-CAAD-442A-B16B-169450B63C43}">
  <sheetPr codeName="Sheet1"/>
  <dimension ref="A1:Q11"/>
  <sheetViews>
    <sheetView workbookViewId="0">
      <selection activeCell="H16" sqref="H16"/>
    </sheetView>
  </sheetViews>
  <sheetFormatPr defaultRowHeight="14.4"/>
  <cols>
    <col min="1" max="1" width="10.21875" bestFit="1" customWidth="1"/>
    <col min="2" max="2" width="12.109375" bestFit="1" customWidth="1"/>
    <col min="3" max="3" width="16.44140625" bestFit="1" customWidth="1"/>
    <col min="4" max="4" width="12.44140625" bestFit="1" customWidth="1"/>
    <col min="6" max="6" width="10.44140625" bestFit="1" customWidth="1"/>
    <col min="7" max="7" width="11" style="9" bestFit="1" customWidth="1"/>
    <col min="8" max="8" width="14" bestFit="1" customWidth="1"/>
    <col min="9" max="9" width="14" style="3" customWidth="1"/>
    <col min="10" max="11" width="14" style="5" customWidth="1"/>
    <col min="12" max="12" width="14.6640625" bestFit="1" customWidth="1"/>
    <col min="13" max="13" width="19.33203125" bestFit="1" customWidth="1"/>
    <col min="14" max="14" width="19.33203125" style="9" customWidth="1"/>
    <col min="15" max="15" width="20.21875" bestFit="1" customWidth="1"/>
    <col min="16" max="16" width="13.21875" bestFit="1" customWidth="1"/>
    <col min="17" max="17" width="14" bestFit="1" customWidth="1"/>
  </cols>
  <sheetData>
    <row r="1" spans="1:17">
      <c r="A1" t="s">
        <v>1</v>
      </c>
      <c r="B1" t="s">
        <v>0</v>
      </c>
      <c r="C1" t="s">
        <v>2</v>
      </c>
      <c r="D1" t="s">
        <v>3</v>
      </c>
      <c r="E1" t="s">
        <v>4</v>
      </c>
      <c r="F1" t="s">
        <v>5</v>
      </c>
      <c r="G1" s="9" t="s">
        <v>6</v>
      </c>
      <c r="H1" t="s">
        <v>12</v>
      </c>
      <c r="I1" s="3" t="s">
        <v>200</v>
      </c>
      <c r="J1" s="5" t="s">
        <v>208</v>
      </c>
      <c r="K1" s="5" t="s">
        <v>207</v>
      </c>
      <c r="L1" t="s">
        <v>7</v>
      </c>
      <c r="M1" t="s">
        <v>8</v>
      </c>
      <c r="N1" s="9" t="s">
        <v>214</v>
      </c>
      <c r="O1" t="s">
        <v>9</v>
      </c>
      <c r="P1" t="s">
        <v>10</v>
      </c>
      <c r="Q1" t="s">
        <v>11</v>
      </c>
    </row>
    <row r="2" spans="1:17">
      <c r="A2">
        <v>1</v>
      </c>
      <c r="B2" t="s">
        <v>178</v>
      </c>
      <c r="C2" s="1" t="s">
        <v>30</v>
      </c>
      <c r="D2" t="s">
        <v>179</v>
      </c>
      <c r="E2" t="s">
        <v>180</v>
      </c>
      <c r="F2">
        <v>2</v>
      </c>
      <c r="G2" s="9">
        <v>4</v>
      </c>
      <c r="H2" s="2">
        <v>44810</v>
      </c>
      <c r="I2" s="3">
        <v>564</v>
      </c>
      <c r="J2" s="5">
        <v>352</v>
      </c>
      <c r="K2" s="5">
        <v>1364</v>
      </c>
      <c r="L2" s="4">
        <v>45177</v>
      </c>
      <c r="M2" s="2">
        <v>44815</v>
      </c>
      <c r="N2" s="9">
        <v>8</v>
      </c>
    </row>
    <row r="3" spans="1:17">
      <c r="A3">
        <v>2</v>
      </c>
      <c r="B3" t="s">
        <v>201</v>
      </c>
      <c r="C3" t="s">
        <v>31</v>
      </c>
      <c r="D3" t="s">
        <v>179</v>
      </c>
      <c r="E3" t="s">
        <v>180</v>
      </c>
      <c r="F3">
        <v>1</v>
      </c>
      <c r="G3" s="9">
        <v>500</v>
      </c>
      <c r="H3" s="2">
        <v>44810</v>
      </c>
      <c r="I3" s="3">
        <v>401</v>
      </c>
      <c r="J3" s="5">
        <v>39000</v>
      </c>
      <c r="K3" s="5">
        <v>232500</v>
      </c>
      <c r="L3" s="4">
        <v>45178</v>
      </c>
      <c r="M3" s="2">
        <v>44814</v>
      </c>
      <c r="N3" s="9">
        <v>20000</v>
      </c>
    </row>
    <row r="4" spans="1:17">
      <c r="A4">
        <v>3</v>
      </c>
      <c r="B4" t="s">
        <v>181</v>
      </c>
      <c r="C4" t="s">
        <v>32</v>
      </c>
      <c r="D4" t="s">
        <v>179</v>
      </c>
      <c r="E4" t="s">
        <v>180</v>
      </c>
      <c r="F4">
        <v>1</v>
      </c>
      <c r="G4" s="9">
        <v>200</v>
      </c>
      <c r="H4" s="2">
        <v>44810</v>
      </c>
      <c r="I4" s="3">
        <v>22</v>
      </c>
      <c r="J4" s="5">
        <v>1400</v>
      </c>
      <c r="K4" s="5">
        <v>27200</v>
      </c>
      <c r="L4" s="4">
        <v>45177</v>
      </c>
      <c r="M4" s="2">
        <v>44814</v>
      </c>
      <c r="N4" s="9">
        <v>0</v>
      </c>
    </row>
    <row r="5" spans="1:17">
      <c r="A5">
        <v>4</v>
      </c>
      <c r="B5" t="s">
        <v>182</v>
      </c>
      <c r="C5" t="s">
        <v>33</v>
      </c>
      <c r="D5" t="s">
        <v>179</v>
      </c>
      <c r="E5" t="s">
        <v>180</v>
      </c>
      <c r="F5">
        <v>3</v>
      </c>
      <c r="G5" s="9">
        <v>100</v>
      </c>
      <c r="H5" s="2">
        <v>44810</v>
      </c>
      <c r="I5" s="3">
        <v>100</v>
      </c>
      <c r="J5" s="5">
        <v>600</v>
      </c>
      <c r="K5" s="5">
        <v>9000</v>
      </c>
      <c r="L5" s="4">
        <v>44813</v>
      </c>
      <c r="M5" s="2">
        <v>44813</v>
      </c>
      <c r="N5" s="9">
        <v>500</v>
      </c>
    </row>
    <row r="6" spans="1:17">
      <c r="A6">
        <v>5</v>
      </c>
      <c r="B6" t="s">
        <v>183</v>
      </c>
      <c r="C6" t="s">
        <v>34</v>
      </c>
      <c r="D6" t="s">
        <v>179</v>
      </c>
      <c r="E6" t="s">
        <v>180</v>
      </c>
      <c r="F6">
        <v>1</v>
      </c>
      <c r="G6" s="9">
        <v>890</v>
      </c>
      <c r="H6" s="2">
        <v>44810</v>
      </c>
      <c r="I6" s="3">
        <v>338</v>
      </c>
      <c r="J6" s="5">
        <v>19580</v>
      </c>
      <c r="K6" s="5">
        <v>203810</v>
      </c>
      <c r="L6" s="4">
        <v>45178</v>
      </c>
      <c r="M6" s="2">
        <v>44814</v>
      </c>
    </row>
    <row r="7" spans="1:17">
      <c r="H7" s="2"/>
    </row>
    <row r="8" spans="1:17">
      <c r="H8" s="2"/>
    </row>
    <row r="9" spans="1:17">
      <c r="H9" s="2"/>
    </row>
    <row r="10" spans="1:17">
      <c r="H10" s="2"/>
    </row>
    <row r="11" spans="1:17">
      <c r="H11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5F777-3981-4CF5-B7D8-63F864EEA934}">
  <sheetPr codeName="Sheet4"/>
  <dimension ref="A1:G43"/>
  <sheetViews>
    <sheetView tabSelected="1" workbookViewId="0">
      <selection activeCell="A2" sqref="A2"/>
    </sheetView>
  </sheetViews>
  <sheetFormatPr defaultRowHeight="14.4"/>
  <cols>
    <col min="1" max="1" width="10.21875" bestFit="1" customWidth="1"/>
    <col min="2" max="2" width="12.109375" bestFit="1" customWidth="1"/>
    <col min="3" max="3" width="17.44140625" bestFit="1" customWidth="1"/>
    <col min="5" max="5" width="8.88671875" style="5"/>
    <col min="6" max="6" width="10.21875" bestFit="1" customWidth="1"/>
    <col min="7" max="7" width="11.33203125" bestFit="1" customWidth="1"/>
  </cols>
  <sheetData>
    <row r="1" spans="1:7">
      <c r="A1" s="6" t="s">
        <v>213</v>
      </c>
      <c r="B1" s="6" t="s">
        <v>0</v>
      </c>
      <c r="C1" s="6" t="s">
        <v>2</v>
      </c>
      <c r="D1" s="6" t="s">
        <v>209</v>
      </c>
      <c r="E1" s="7" t="s">
        <v>211</v>
      </c>
      <c r="F1" s="8" t="s">
        <v>210</v>
      </c>
      <c r="G1" s="6" t="s">
        <v>212</v>
      </c>
    </row>
    <row r="2" spans="1:7">
      <c r="A2">
        <v>1</v>
      </c>
      <c r="B2" t="s">
        <v>201</v>
      </c>
      <c r="C2" t="s">
        <v>31</v>
      </c>
      <c r="D2">
        <v>4</v>
      </c>
      <c r="E2" s="5">
        <v>2000</v>
      </c>
      <c r="F2">
        <v>461</v>
      </c>
      <c r="G2" s="2">
        <v>44813</v>
      </c>
    </row>
    <row r="3" spans="1:7">
      <c r="A3">
        <v>2</v>
      </c>
      <c r="B3" t="s">
        <v>201</v>
      </c>
      <c r="C3" t="s">
        <v>31</v>
      </c>
      <c r="D3">
        <v>4</v>
      </c>
      <c r="E3" s="5">
        <v>2000</v>
      </c>
      <c r="F3">
        <v>461</v>
      </c>
      <c r="G3" s="2">
        <v>44813</v>
      </c>
    </row>
    <row r="4" spans="1:7">
      <c r="A4">
        <v>3</v>
      </c>
      <c r="B4" t="s">
        <v>201</v>
      </c>
      <c r="C4" t="s">
        <v>31</v>
      </c>
      <c r="D4">
        <v>4</v>
      </c>
      <c r="E4" s="5">
        <v>2000</v>
      </c>
      <c r="F4">
        <v>461</v>
      </c>
      <c r="G4" s="2">
        <v>44813</v>
      </c>
    </row>
    <row r="5" spans="1:7">
      <c r="A5">
        <v>4</v>
      </c>
      <c r="B5" t="s">
        <v>178</v>
      </c>
      <c r="C5" t="s">
        <v>30</v>
      </c>
      <c r="D5">
        <v>5</v>
      </c>
      <c r="E5" s="5">
        <v>10</v>
      </c>
      <c r="F5">
        <v>445</v>
      </c>
      <c r="G5" s="2">
        <v>44813</v>
      </c>
    </row>
    <row r="6" spans="1:7">
      <c r="A6">
        <v>5</v>
      </c>
      <c r="B6" t="s">
        <v>178</v>
      </c>
      <c r="C6" t="s">
        <v>30</v>
      </c>
      <c r="D6">
        <v>5</v>
      </c>
      <c r="E6" s="5">
        <v>10</v>
      </c>
      <c r="F6">
        <v>445</v>
      </c>
      <c r="G6" s="2">
        <v>44813</v>
      </c>
    </row>
    <row r="7" spans="1:7">
      <c r="A7">
        <v>6</v>
      </c>
      <c r="B7" t="s">
        <v>178</v>
      </c>
      <c r="C7" t="s">
        <v>30</v>
      </c>
      <c r="D7">
        <v>9</v>
      </c>
      <c r="E7" s="5">
        <v>18</v>
      </c>
      <c r="F7">
        <v>445</v>
      </c>
      <c r="G7" s="2">
        <v>44813</v>
      </c>
    </row>
    <row r="8" spans="1:7">
      <c r="A8">
        <v>7</v>
      </c>
      <c r="B8" t="s">
        <v>178</v>
      </c>
      <c r="C8" t="s">
        <v>30</v>
      </c>
      <c r="D8">
        <v>9</v>
      </c>
      <c r="E8" s="5">
        <v>18</v>
      </c>
      <c r="F8">
        <v>445</v>
      </c>
      <c r="G8" s="2">
        <v>44813</v>
      </c>
    </row>
    <row r="9" spans="1:7">
      <c r="A9">
        <v>8</v>
      </c>
      <c r="B9" t="s">
        <v>178</v>
      </c>
      <c r="C9" t="s">
        <v>30</v>
      </c>
      <c r="D9">
        <v>89</v>
      </c>
      <c r="E9" s="5">
        <v>178</v>
      </c>
      <c r="F9">
        <v>445</v>
      </c>
      <c r="G9" s="2">
        <v>44813</v>
      </c>
    </row>
    <row r="10" spans="1:7">
      <c r="A10">
        <v>9</v>
      </c>
      <c r="B10" t="s">
        <v>178</v>
      </c>
      <c r="C10" t="s">
        <v>30</v>
      </c>
      <c r="D10">
        <v>89</v>
      </c>
      <c r="E10" s="5">
        <v>178</v>
      </c>
      <c r="F10">
        <v>445</v>
      </c>
      <c r="G10" s="2">
        <v>44813</v>
      </c>
    </row>
    <row r="11" spans="1:7">
      <c r="A11">
        <v>10</v>
      </c>
      <c r="B11" t="s">
        <v>178</v>
      </c>
      <c r="C11" t="s">
        <v>30</v>
      </c>
      <c r="D11">
        <v>9</v>
      </c>
      <c r="E11" s="5">
        <v>18</v>
      </c>
      <c r="F11">
        <v>431</v>
      </c>
      <c r="G11" s="2">
        <v>44813</v>
      </c>
    </row>
    <row r="12" spans="1:7">
      <c r="A12">
        <v>11</v>
      </c>
      <c r="B12" t="s">
        <v>178</v>
      </c>
      <c r="C12" t="s">
        <v>30</v>
      </c>
      <c r="D12">
        <v>9</v>
      </c>
      <c r="E12" s="5">
        <v>18</v>
      </c>
      <c r="F12">
        <v>431</v>
      </c>
      <c r="G12" s="2">
        <v>44813</v>
      </c>
    </row>
    <row r="13" spans="1:7">
      <c r="A13">
        <v>12</v>
      </c>
      <c r="B13" t="s">
        <v>201</v>
      </c>
      <c r="C13" t="s">
        <v>31</v>
      </c>
      <c r="D13">
        <v>9</v>
      </c>
      <c r="E13" s="5">
        <v>4500</v>
      </c>
      <c r="F13">
        <v>401</v>
      </c>
      <c r="G13" s="2">
        <v>44813</v>
      </c>
    </row>
    <row r="14" spans="1:7">
      <c r="A14">
        <v>13</v>
      </c>
      <c r="B14" t="s">
        <v>201</v>
      </c>
      <c r="C14" t="s">
        <v>31</v>
      </c>
      <c r="D14">
        <v>78</v>
      </c>
      <c r="E14" s="5">
        <v>39000</v>
      </c>
      <c r="F14">
        <v>401</v>
      </c>
      <c r="G14" s="2">
        <v>44814</v>
      </c>
    </row>
    <row r="15" spans="1:7">
      <c r="A15">
        <v>14</v>
      </c>
      <c r="B15" t="s">
        <v>181</v>
      </c>
      <c r="C15" t="s">
        <v>32</v>
      </c>
      <c r="D15">
        <v>20</v>
      </c>
      <c r="E15" s="5">
        <v>4000</v>
      </c>
      <c r="F15">
        <v>0</v>
      </c>
      <c r="G15" s="2">
        <v>44814</v>
      </c>
    </row>
    <row r="16" spans="1:7">
      <c r="A16">
        <v>15</v>
      </c>
      <c r="B16" t="s">
        <v>181</v>
      </c>
      <c r="C16" t="s">
        <v>32</v>
      </c>
      <c r="D16">
        <v>20</v>
      </c>
      <c r="E16" s="5">
        <v>4000</v>
      </c>
      <c r="F16">
        <v>0</v>
      </c>
      <c r="G16" s="2">
        <v>44814</v>
      </c>
    </row>
    <row r="17" spans="1:7">
      <c r="A17">
        <v>16</v>
      </c>
      <c r="B17" t="s">
        <v>181</v>
      </c>
      <c r="C17" t="s">
        <v>32</v>
      </c>
      <c r="D17">
        <v>45</v>
      </c>
      <c r="E17" s="5">
        <v>9000</v>
      </c>
      <c r="F17">
        <v>0</v>
      </c>
      <c r="G17" s="2">
        <v>44814</v>
      </c>
    </row>
    <row r="18" spans="1:7">
      <c r="A18">
        <v>17</v>
      </c>
      <c r="B18" t="s">
        <v>181</v>
      </c>
      <c r="C18" t="s">
        <v>32</v>
      </c>
      <c r="D18">
        <v>45</v>
      </c>
      <c r="E18" s="5">
        <v>9000</v>
      </c>
      <c r="F18">
        <v>0</v>
      </c>
      <c r="G18" s="2">
        <v>44814</v>
      </c>
    </row>
    <row r="19" spans="1:7">
      <c r="A19">
        <v>18</v>
      </c>
      <c r="B19" t="s">
        <v>178</v>
      </c>
      <c r="C19" t="s">
        <v>30</v>
      </c>
      <c r="D19">
        <v>5</v>
      </c>
      <c r="E19" s="5">
        <v>10</v>
      </c>
      <c r="F19">
        <v>431</v>
      </c>
      <c r="G19" s="2">
        <v>44814</v>
      </c>
    </row>
    <row r="20" spans="1:7">
      <c r="A20">
        <v>19</v>
      </c>
      <c r="B20" t="s">
        <v>178</v>
      </c>
      <c r="C20" t="s">
        <v>30</v>
      </c>
      <c r="D20">
        <v>5</v>
      </c>
      <c r="E20" s="5">
        <v>10</v>
      </c>
      <c r="F20">
        <v>431</v>
      </c>
      <c r="G20" s="2">
        <v>44814</v>
      </c>
    </row>
    <row r="21" spans="1:7">
      <c r="A21">
        <v>20</v>
      </c>
      <c r="B21" t="s">
        <v>178</v>
      </c>
      <c r="C21" t="s">
        <v>30</v>
      </c>
      <c r="D21">
        <v>5</v>
      </c>
      <c r="E21" s="5">
        <v>10</v>
      </c>
      <c r="F21">
        <v>431</v>
      </c>
      <c r="G21" s="2">
        <v>44814</v>
      </c>
    </row>
    <row r="22" spans="1:7">
      <c r="A22">
        <v>21</v>
      </c>
      <c r="B22" t="s">
        <v>181</v>
      </c>
      <c r="C22" t="s">
        <v>32</v>
      </c>
      <c r="D22">
        <v>5</v>
      </c>
      <c r="E22" s="5">
        <v>1000</v>
      </c>
      <c r="F22">
        <v>5</v>
      </c>
      <c r="G22" s="2">
        <v>44814</v>
      </c>
    </row>
    <row r="23" spans="1:7">
      <c r="A23">
        <v>22</v>
      </c>
      <c r="B23" t="s">
        <v>181</v>
      </c>
      <c r="C23" t="s">
        <v>32</v>
      </c>
      <c r="D23">
        <v>5</v>
      </c>
      <c r="E23" s="5">
        <v>1000</v>
      </c>
      <c r="F23">
        <v>10</v>
      </c>
      <c r="G23" s="2">
        <v>44814</v>
      </c>
    </row>
    <row r="24" spans="1:7">
      <c r="A24">
        <v>23</v>
      </c>
      <c r="B24" t="s">
        <v>181</v>
      </c>
      <c r="C24" t="s">
        <v>32</v>
      </c>
      <c r="D24">
        <v>5</v>
      </c>
      <c r="E24" s="5">
        <v>1000</v>
      </c>
      <c r="F24">
        <v>15</v>
      </c>
      <c r="G24" s="2">
        <v>44814</v>
      </c>
    </row>
    <row r="25" spans="1:7">
      <c r="A25">
        <v>24</v>
      </c>
      <c r="B25" t="s">
        <v>181</v>
      </c>
      <c r="C25" t="s">
        <v>32</v>
      </c>
      <c r="D25">
        <v>7</v>
      </c>
      <c r="E25" s="5">
        <v>1400</v>
      </c>
      <c r="F25">
        <v>22</v>
      </c>
      <c r="G25" s="2">
        <v>44814</v>
      </c>
    </row>
    <row r="26" spans="1:7">
      <c r="A26">
        <v>25</v>
      </c>
      <c r="B26" t="s">
        <v>183</v>
      </c>
      <c r="C26" t="s">
        <v>34</v>
      </c>
      <c r="D26">
        <v>22</v>
      </c>
      <c r="E26" s="5">
        <v>19580</v>
      </c>
      <c r="F26">
        <v>250</v>
      </c>
      <c r="G26" s="2">
        <v>44814</v>
      </c>
    </row>
    <row r="27" spans="1:7">
      <c r="A27">
        <v>26</v>
      </c>
      <c r="B27" t="s">
        <v>183</v>
      </c>
      <c r="C27" t="s">
        <v>34</v>
      </c>
      <c r="D27">
        <v>22</v>
      </c>
      <c r="E27" s="5">
        <v>19580</v>
      </c>
      <c r="F27">
        <v>272</v>
      </c>
      <c r="G27" s="2">
        <v>44814</v>
      </c>
    </row>
    <row r="28" spans="1:7">
      <c r="A28">
        <v>27</v>
      </c>
      <c r="B28" t="s">
        <v>183</v>
      </c>
      <c r="C28" t="s">
        <v>34</v>
      </c>
      <c r="D28">
        <v>22</v>
      </c>
      <c r="E28" s="5">
        <v>19580</v>
      </c>
      <c r="F28">
        <v>294</v>
      </c>
      <c r="G28" s="2">
        <v>44814</v>
      </c>
    </row>
    <row r="29" spans="1:7">
      <c r="A29">
        <v>28</v>
      </c>
      <c r="B29" t="s">
        <v>183</v>
      </c>
      <c r="C29" t="s">
        <v>34</v>
      </c>
      <c r="D29">
        <v>22</v>
      </c>
      <c r="E29" s="5">
        <v>19580</v>
      </c>
      <c r="F29">
        <v>316</v>
      </c>
      <c r="G29" s="2">
        <v>44814</v>
      </c>
    </row>
    <row r="30" spans="1:7">
      <c r="A30">
        <v>29</v>
      </c>
      <c r="B30" t="s">
        <v>183</v>
      </c>
      <c r="C30" t="s">
        <v>34</v>
      </c>
      <c r="D30">
        <v>22</v>
      </c>
      <c r="E30" s="5">
        <v>19580</v>
      </c>
      <c r="F30">
        <v>338</v>
      </c>
      <c r="G30" s="2">
        <v>44814</v>
      </c>
    </row>
    <row r="31" spans="1:7">
      <c r="A31">
        <v>30</v>
      </c>
      <c r="B31" t="s">
        <v>178</v>
      </c>
      <c r="C31" t="s">
        <v>30</v>
      </c>
      <c r="D31">
        <v>45</v>
      </c>
      <c r="E31" s="5">
        <v>180</v>
      </c>
      <c r="F31">
        <v>476</v>
      </c>
      <c r="G31" s="2">
        <v>44814</v>
      </c>
    </row>
    <row r="32" spans="1:7">
      <c r="A32">
        <v>31</v>
      </c>
      <c r="B32" t="s">
        <v>178</v>
      </c>
      <c r="C32" t="s">
        <v>30</v>
      </c>
      <c r="D32">
        <v>88</v>
      </c>
      <c r="E32" s="5">
        <v>352</v>
      </c>
      <c r="F32">
        <v>564</v>
      </c>
      <c r="G32" s="2">
        <v>44815</v>
      </c>
    </row>
    <row r="33" spans="7:7">
      <c r="G33" s="2"/>
    </row>
    <row r="34" spans="7:7">
      <c r="G34" s="2"/>
    </row>
    <row r="35" spans="7:7">
      <c r="G35" s="2"/>
    </row>
    <row r="36" spans="7:7">
      <c r="G36" s="2"/>
    </row>
    <row r="37" spans="7:7">
      <c r="G37" s="2"/>
    </row>
    <row r="38" spans="7:7">
      <c r="G38" s="2"/>
    </row>
    <row r="39" spans="7:7">
      <c r="G39" s="2"/>
    </row>
    <row r="40" spans="7:7">
      <c r="G40" s="2"/>
    </row>
    <row r="41" spans="7:7">
      <c r="G41" s="2"/>
    </row>
    <row r="42" spans="7:7">
      <c r="G42" s="2"/>
    </row>
    <row r="43" spans="7:7">
      <c r="G43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B3D54-4773-43A2-B754-06180FD1EA04}">
  <sheetPr codeName="Sheet5"/>
  <dimension ref="A1:G14"/>
  <sheetViews>
    <sheetView workbookViewId="0">
      <selection activeCell="H10" sqref="H10"/>
    </sheetView>
  </sheetViews>
  <sheetFormatPr defaultRowHeight="14.4"/>
  <cols>
    <col min="1" max="1" width="10.44140625" bestFit="1" customWidth="1"/>
    <col min="3" max="3" width="17.44140625" bestFit="1" customWidth="1"/>
    <col min="5" max="5" width="10.21875" style="5" bestFit="1" customWidth="1"/>
    <col min="6" max="6" width="10.21875" style="3" bestFit="1" customWidth="1"/>
    <col min="7" max="7" width="11.33203125" bestFit="1" customWidth="1"/>
  </cols>
  <sheetData>
    <row r="1" spans="1:7">
      <c r="A1" s="6" t="s">
        <v>213</v>
      </c>
      <c r="B1" s="6" t="s">
        <v>0</v>
      </c>
      <c r="C1" s="6" t="s">
        <v>2</v>
      </c>
      <c r="D1" s="6" t="s">
        <v>209</v>
      </c>
      <c r="E1" s="7" t="s">
        <v>211</v>
      </c>
      <c r="F1" s="8" t="s">
        <v>210</v>
      </c>
      <c r="G1" s="6" t="s">
        <v>212</v>
      </c>
    </row>
    <row r="2" spans="1:7">
      <c r="A2">
        <v>1</v>
      </c>
      <c r="B2" t="s">
        <v>178</v>
      </c>
      <c r="C2" t="s">
        <v>30</v>
      </c>
      <c r="D2">
        <v>88</v>
      </c>
      <c r="E2">
        <v>352</v>
      </c>
      <c r="F2">
        <v>564</v>
      </c>
      <c r="G2" s="2">
        <v>44815</v>
      </c>
    </row>
    <row r="3" spans="1:7">
      <c r="E3"/>
      <c r="F3"/>
    </row>
    <row r="4" spans="1:7">
      <c r="E4"/>
      <c r="F4"/>
    </row>
    <row r="5" spans="1:7">
      <c r="E5"/>
      <c r="F5"/>
    </row>
    <row r="6" spans="1:7">
      <c r="E6"/>
      <c r="F6"/>
    </row>
    <row r="7" spans="1:7">
      <c r="E7"/>
      <c r="F7"/>
    </row>
    <row r="8" spans="1:7">
      <c r="E8"/>
      <c r="F8"/>
    </row>
    <row r="9" spans="1:7">
      <c r="E9"/>
      <c r="F9"/>
    </row>
    <row r="10" spans="1:7">
      <c r="E10"/>
      <c r="F10"/>
    </row>
    <row r="11" spans="1:7">
      <c r="E11"/>
      <c r="F11"/>
    </row>
    <row r="12" spans="1:7">
      <c r="E12"/>
      <c r="F12"/>
    </row>
    <row r="13" spans="1:7">
      <c r="E13"/>
      <c r="F13"/>
    </row>
    <row r="14" spans="1:7">
      <c r="E14"/>
      <c r="F1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9FBC6F-E66C-4879-8226-5447E4D795D8}">
  <sheetPr codeName="Sheet6"/>
  <dimension ref="A1:G12"/>
  <sheetViews>
    <sheetView workbookViewId="0">
      <selection activeCell="E20" sqref="E20"/>
    </sheetView>
  </sheetViews>
  <sheetFormatPr defaultRowHeight="14.4"/>
  <cols>
    <col min="3" max="3" width="15.5546875" bestFit="1" customWidth="1"/>
    <col min="5" max="5" width="8.33203125" style="13" bestFit="1" customWidth="1"/>
    <col min="7" max="7" width="11.33203125" bestFit="1" customWidth="1"/>
  </cols>
  <sheetData>
    <row r="1" spans="1:7">
      <c r="A1" s="6" t="s">
        <v>213</v>
      </c>
      <c r="B1" s="6" t="s">
        <v>0</v>
      </c>
      <c r="C1" s="6" t="s">
        <v>2</v>
      </c>
      <c r="D1" s="6" t="s">
        <v>209</v>
      </c>
      <c r="E1" s="12" t="s">
        <v>211</v>
      </c>
      <c r="F1" s="8" t="s">
        <v>216</v>
      </c>
      <c r="G1" s="6" t="s">
        <v>212</v>
      </c>
    </row>
    <row r="2" spans="1:7">
      <c r="A2">
        <v>1</v>
      </c>
      <c r="B2" t="s">
        <v>178</v>
      </c>
      <c r="C2" t="s">
        <v>30</v>
      </c>
      <c r="D2">
        <v>78</v>
      </c>
      <c r="E2" s="13">
        <v>178</v>
      </c>
      <c r="F2">
        <v>445</v>
      </c>
      <c r="G2" s="2">
        <v>44813</v>
      </c>
    </row>
    <row r="3" spans="1:7">
      <c r="A3">
        <v>2</v>
      </c>
      <c r="B3" t="s">
        <v>181</v>
      </c>
      <c r="C3" t="s">
        <v>32</v>
      </c>
      <c r="D3">
        <v>6</v>
      </c>
      <c r="E3" s="13">
        <v>1200</v>
      </c>
      <c r="F3">
        <v>38</v>
      </c>
      <c r="G3" s="2">
        <v>44813</v>
      </c>
    </row>
    <row r="4" spans="1:7">
      <c r="A4">
        <v>3</v>
      </c>
      <c r="B4" t="s">
        <v>181</v>
      </c>
      <c r="C4" t="s">
        <v>32</v>
      </c>
      <c r="D4">
        <v>6</v>
      </c>
      <c r="E4" s="13">
        <v>1200</v>
      </c>
      <c r="F4">
        <v>32</v>
      </c>
      <c r="G4" s="2">
        <v>44813</v>
      </c>
    </row>
    <row r="5" spans="1:7">
      <c r="A5">
        <v>4</v>
      </c>
      <c r="B5" t="s">
        <v>181</v>
      </c>
      <c r="C5" t="s">
        <v>32</v>
      </c>
      <c r="D5">
        <v>32</v>
      </c>
      <c r="E5" s="13">
        <v>1200</v>
      </c>
      <c r="F5">
        <v>0</v>
      </c>
      <c r="G5" s="2">
        <v>44813</v>
      </c>
    </row>
    <row r="6" spans="1:7">
      <c r="A6">
        <v>5</v>
      </c>
      <c r="B6" t="s">
        <v>181</v>
      </c>
      <c r="C6" t="s">
        <v>32</v>
      </c>
      <c r="D6">
        <v>0</v>
      </c>
      <c r="E6" s="13">
        <v>1200</v>
      </c>
      <c r="F6">
        <v>0</v>
      </c>
      <c r="G6" s="2">
        <v>44813</v>
      </c>
    </row>
    <row r="7" spans="1:7">
      <c r="A7">
        <v>6</v>
      </c>
      <c r="B7" t="s">
        <v>178</v>
      </c>
      <c r="C7" t="s">
        <v>30</v>
      </c>
      <c r="D7">
        <v>10</v>
      </c>
      <c r="E7" s="13">
        <v>20</v>
      </c>
      <c r="F7">
        <v>435</v>
      </c>
      <c r="G7" s="2">
        <v>44813</v>
      </c>
    </row>
    <row r="8" spans="1:7">
      <c r="A8">
        <v>7</v>
      </c>
      <c r="B8" t="s">
        <v>201</v>
      </c>
      <c r="C8" t="s">
        <v>31</v>
      </c>
      <c r="D8">
        <v>10</v>
      </c>
      <c r="E8" s="13">
        <v>5000</v>
      </c>
      <c r="F8">
        <v>451</v>
      </c>
      <c r="G8" s="2">
        <v>44813</v>
      </c>
    </row>
    <row r="9" spans="1:7">
      <c r="A9">
        <v>8</v>
      </c>
      <c r="B9" t="s">
        <v>201</v>
      </c>
      <c r="C9" t="s">
        <v>31</v>
      </c>
      <c r="D9">
        <v>10</v>
      </c>
      <c r="E9" s="13">
        <v>5000</v>
      </c>
      <c r="F9">
        <v>441</v>
      </c>
      <c r="G9" s="2">
        <v>44813</v>
      </c>
    </row>
    <row r="10" spans="1:7">
      <c r="A10">
        <v>9</v>
      </c>
      <c r="B10" t="s">
        <v>201</v>
      </c>
      <c r="C10" t="s">
        <v>31</v>
      </c>
      <c r="D10">
        <v>40</v>
      </c>
      <c r="E10" s="13">
        <v>20000</v>
      </c>
      <c r="F10">
        <v>401</v>
      </c>
      <c r="G10" s="2">
        <v>44813</v>
      </c>
    </row>
    <row r="11" spans="1:7">
      <c r="A11">
        <v>10</v>
      </c>
      <c r="B11" t="s">
        <v>182</v>
      </c>
      <c r="C11" t="s">
        <v>33</v>
      </c>
      <c r="D11">
        <v>5</v>
      </c>
      <c r="E11" s="13">
        <v>500</v>
      </c>
      <c r="F11">
        <v>100</v>
      </c>
      <c r="G11" s="2">
        <v>44813</v>
      </c>
    </row>
    <row r="12" spans="1:7">
      <c r="A12">
        <v>11</v>
      </c>
      <c r="B12" t="s">
        <v>178</v>
      </c>
      <c r="C12" t="s">
        <v>30</v>
      </c>
      <c r="D12">
        <v>4</v>
      </c>
      <c r="E12" s="13">
        <v>8</v>
      </c>
      <c r="F12">
        <v>431</v>
      </c>
      <c r="G12" s="2">
        <v>44813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11700-6CFC-4DE5-8380-02CC2BFE2A7A}">
  <sheetPr codeName="Sheet7"/>
  <dimension ref="A1:G11"/>
  <sheetViews>
    <sheetView workbookViewId="0">
      <selection activeCell="G20" sqref="G20"/>
    </sheetView>
  </sheetViews>
  <sheetFormatPr defaultRowHeight="14.4"/>
  <cols>
    <col min="3" max="3" width="17.44140625" bestFit="1" customWidth="1"/>
    <col min="5" max="5" width="10.33203125" style="11" bestFit="1" customWidth="1"/>
    <col min="6" max="6" width="10.21875" bestFit="1" customWidth="1"/>
    <col min="7" max="7" width="11.33203125" bestFit="1" customWidth="1"/>
  </cols>
  <sheetData>
    <row r="1" spans="1:7">
      <c r="A1" s="6" t="s">
        <v>213</v>
      </c>
      <c r="B1" s="6" t="s">
        <v>0</v>
      </c>
      <c r="C1" s="6" t="s">
        <v>2</v>
      </c>
      <c r="D1" s="6" t="s">
        <v>209</v>
      </c>
      <c r="E1" s="10" t="s">
        <v>211</v>
      </c>
      <c r="F1" s="8" t="s">
        <v>215</v>
      </c>
      <c r="G1" s="6" t="s">
        <v>212</v>
      </c>
    </row>
    <row r="2" spans="1:7">
      <c r="E2"/>
    </row>
    <row r="3" spans="1:7">
      <c r="E3"/>
    </row>
    <row r="4" spans="1:7">
      <c r="E4"/>
    </row>
    <row r="5" spans="1:7">
      <c r="E5"/>
    </row>
    <row r="6" spans="1:7">
      <c r="E6"/>
    </row>
    <row r="7" spans="1:7">
      <c r="E7"/>
    </row>
    <row r="8" spans="1:7">
      <c r="E8"/>
    </row>
    <row r="9" spans="1:7">
      <c r="E9"/>
    </row>
    <row r="10" spans="1:7">
      <c r="E10"/>
    </row>
    <row r="11" spans="1:7">
      <c r="E11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D0FA0-B44B-4BFF-812E-6F330E8E79B4}">
  <sheetPr codeName="Sheet3"/>
  <dimension ref="A1:C10"/>
  <sheetViews>
    <sheetView workbookViewId="0">
      <selection activeCell="G9" sqref="G9"/>
    </sheetView>
  </sheetViews>
  <sheetFormatPr defaultRowHeight="14.4"/>
  <cols>
    <col min="1" max="1" width="10.21875" bestFit="1" customWidth="1"/>
    <col min="2" max="2" width="10.44140625" bestFit="1" customWidth="1"/>
    <col min="3" max="3" width="10.33203125" bestFit="1" customWidth="1"/>
  </cols>
  <sheetData>
    <row r="1" spans="1:3">
      <c r="A1" t="s">
        <v>1</v>
      </c>
      <c r="B1" t="s">
        <v>185</v>
      </c>
      <c r="C1" t="s">
        <v>186</v>
      </c>
    </row>
    <row r="2" spans="1:3">
      <c r="A2">
        <v>1</v>
      </c>
      <c r="B2" t="s">
        <v>187</v>
      </c>
      <c r="C2" t="s">
        <v>188</v>
      </c>
    </row>
    <row r="3" spans="1:3">
      <c r="A3">
        <v>2</v>
      </c>
      <c r="B3" t="s">
        <v>189</v>
      </c>
      <c r="C3" t="s">
        <v>190</v>
      </c>
    </row>
    <row r="4" spans="1:3">
      <c r="A4">
        <v>3</v>
      </c>
      <c r="B4" t="s">
        <v>191</v>
      </c>
      <c r="C4" t="s">
        <v>192</v>
      </c>
    </row>
    <row r="5" spans="1:3">
      <c r="A5">
        <v>4</v>
      </c>
      <c r="B5" t="s">
        <v>193</v>
      </c>
      <c r="C5" t="s">
        <v>194</v>
      </c>
    </row>
    <row r="6" spans="1:3">
      <c r="A6">
        <v>5</v>
      </c>
      <c r="B6" t="s">
        <v>195</v>
      </c>
      <c r="C6" t="s">
        <v>195</v>
      </c>
    </row>
    <row r="7" spans="1:3">
      <c r="A7">
        <v>6</v>
      </c>
      <c r="B7" t="s">
        <v>196</v>
      </c>
      <c r="C7" t="s">
        <v>197</v>
      </c>
    </row>
    <row r="8" spans="1:3">
      <c r="A8">
        <v>7</v>
      </c>
      <c r="B8" t="s">
        <v>197</v>
      </c>
      <c r="C8" t="s">
        <v>197</v>
      </c>
    </row>
    <row r="9" spans="1:3">
      <c r="A9">
        <v>8</v>
      </c>
      <c r="B9" t="s">
        <v>198</v>
      </c>
      <c r="C9" t="s">
        <v>199</v>
      </c>
    </row>
    <row r="10" spans="1:3">
      <c r="A10">
        <v>9</v>
      </c>
      <c r="B10" t="s">
        <v>217</v>
      </c>
      <c r="C10" t="s">
        <v>218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E832B-2951-450A-9E10-83015AB7A44B}">
  <sheetPr codeName="Sheet2"/>
  <dimension ref="A1:F153"/>
  <sheetViews>
    <sheetView workbookViewId="0">
      <selection activeCell="D5" sqref="D5"/>
    </sheetView>
  </sheetViews>
  <sheetFormatPr defaultRowHeight="14.4"/>
  <cols>
    <col min="1" max="1" width="13.5546875" bestFit="1" customWidth="1"/>
    <col min="2" max="2" width="11.88671875" bestFit="1" customWidth="1"/>
    <col min="3" max="3" width="16.21875" bestFit="1" customWidth="1"/>
    <col min="4" max="4" width="36.5546875" bestFit="1" customWidth="1"/>
  </cols>
  <sheetData>
    <row r="1" spans="1:6">
      <c r="A1" t="s">
        <v>202</v>
      </c>
      <c r="B1" t="s">
        <v>202</v>
      </c>
      <c r="C1" t="s">
        <v>202</v>
      </c>
      <c r="D1" t="s">
        <v>202</v>
      </c>
      <c r="E1" t="s">
        <v>202</v>
      </c>
      <c r="F1" t="s">
        <v>202</v>
      </c>
    </row>
    <row r="2" spans="1:6">
      <c r="A2" t="s">
        <v>13</v>
      </c>
      <c r="B2" t="s">
        <v>16</v>
      </c>
      <c r="C2" t="s">
        <v>21</v>
      </c>
      <c r="D2" s="1" t="str">
        <f>TRIM("ERBA ALBUMIN 440")</f>
        <v>ERBA ALBUMIN 440</v>
      </c>
      <c r="E2" t="s">
        <v>203</v>
      </c>
      <c r="F2" t="s">
        <v>204</v>
      </c>
    </row>
    <row r="3" spans="1:6">
      <c r="A3" t="s">
        <v>14</v>
      </c>
      <c r="B3" t="s">
        <v>17</v>
      </c>
      <c r="C3" t="s">
        <v>22</v>
      </c>
      <c r="D3" t="s">
        <v>31</v>
      </c>
      <c r="F3" t="s">
        <v>205</v>
      </c>
    </row>
    <row r="4" spans="1:6">
      <c r="A4" t="s">
        <v>15</v>
      </c>
      <c r="B4" t="s">
        <v>18</v>
      </c>
      <c r="C4" t="s">
        <v>23</v>
      </c>
      <c r="D4" t="str">
        <f>TRIM("ERBA ALT 330")</f>
        <v>ERBA ALT 330</v>
      </c>
      <c r="F4" t="s">
        <v>206</v>
      </c>
    </row>
    <row r="5" spans="1:6">
      <c r="B5" t="s">
        <v>19</v>
      </c>
      <c r="C5" t="s">
        <v>24</v>
      </c>
      <c r="D5" t="s">
        <v>33</v>
      </c>
    </row>
    <row r="6" spans="1:6">
      <c r="B6" t="s">
        <v>20</v>
      </c>
      <c r="C6" t="s">
        <v>25</v>
      </c>
      <c r="D6" t="s">
        <v>34</v>
      </c>
    </row>
    <row r="7" spans="1:6">
      <c r="C7" t="s">
        <v>26</v>
      </c>
      <c r="D7" t="s">
        <v>35</v>
      </c>
    </row>
    <row r="8" spans="1:6">
      <c r="C8" t="s">
        <v>27</v>
      </c>
      <c r="D8" t="s">
        <v>36</v>
      </c>
    </row>
    <row r="9" spans="1:6">
      <c r="C9" t="s">
        <v>18</v>
      </c>
      <c r="D9" t="s">
        <v>37</v>
      </c>
    </row>
    <row r="10" spans="1:6">
      <c r="C10" t="s">
        <v>19</v>
      </c>
      <c r="D10" t="s">
        <v>38</v>
      </c>
    </row>
    <row r="11" spans="1:6">
      <c r="C11" t="s">
        <v>28</v>
      </c>
      <c r="D11" t="s">
        <v>39</v>
      </c>
    </row>
    <row r="12" spans="1:6">
      <c r="C12" t="s">
        <v>29</v>
      </c>
      <c r="D12" t="s">
        <v>40</v>
      </c>
    </row>
    <row r="13" spans="1:6">
      <c r="D13" t="s">
        <v>41</v>
      </c>
    </row>
    <row r="14" spans="1:6">
      <c r="D14" t="s">
        <v>42</v>
      </c>
    </row>
    <row r="15" spans="1:6">
      <c r="D15" t="s">
        <v>43</v>
      </c>
    </row>
    <row r="16" spans="1:6">
      <c r="D16" t="s">
        <v>44</v>
      </c>
    </row>
    <row r="17" spans="4:4">
      <c r="D17" t="s">
        <v>45</v>
      </c>
    </row>
    <row r="18" spans="4:4">
      <c r="D18" t="s">
        <v>46</v>
      </c>
    </row>
    <row r="19" spans="4:4">
      <c r="D19" t="s">
        <v>47</v>
      </c>
    </row>
    <row r="20" spans="4:4">
      <c r="D20" t="s">
        <v>48</v>
      </c>
    </row>
    <row r="21" spans="4:4">
      <c r="D21" t="s">
        <v>49</v>
      </c>
    </row>
    <row r="22" spans="4:4">
      <c r="D22" t="s">
        <v>50</v>
      </c>
    </row>
    <row r="23" spans="4:4">
      <c r="D23" t="s">
        <v>51</v>
      </c>
    </row>
    <row r="24" spans="4:4">
      <c r="D24" t="s">
        <v>52</v>
      </c>
    </row>
    <row r="25" spans="4:4">
      <c r="D25" t="s">
        <v>53</v>
      </c>
    </row>
    <row r="26" spans="4:4">
      <c r="D26" t="s">
        <v>54</v>
      </c>
    </row>
    <row r="27" spans="4:4">
      <c r="D27" t="s">
        <v>55</v>
      </c>
    </row>
    <row r="28" spans="4:4">
      <c r="D28" t="s">
        <v>56</v>
      </c>
    </row>
    <row r="29" spans="4:4">
      <c r="D29" t="s">
        <v>57</v>
      </c>
    </row>
    <row r="30" spans="4:4">
      <c r="D30" t="s">
        <v>58</v>
      </c>
    </row>
    <row r="31" spans="4:4">
      <c r="D31" t="s">
        <v>59</v>
      </c>
    </row>
    <row r="32" spans="4:4">
      <c r="D32" t="s">
        <v>60</v>
      </c>
    </row>
    <row r="33" spans="4:4">
      <c r="D33" t="s">
        <v>61</v>
      </c>
    </row>
    <row r="34" spans="4:4">
      <c r="D34" t="s">
        <v>62</v>
      </c>
    </row>
    <row r="35" spans="4:4">
      <c r="D35" t="s">
        <v>63</v>
      </c>
    </row>
    <row r="36" spans="4:4">
      <c r="D36" t="s">
        <v>64</v>
      </c>
    </row>
    <row r="37" spans="4:4">
      <c r="D37" t="s">
        <v>65</v>
      </c>
    </row>
    <row r="38" spans="4:4">
      <c r="D38" t="s">
        <v>66</v>
      </c>
    </row>
    <row r="39" spans="4:4">
      <c r="D39" t="s">
        <v>67</v>
      </c>
    </row>
    <row r="40" spans="4:4">
      <c r="D40" t="s">
        <v>68</v>
      </c>
    </row>
    <row r="41" spans="4:4">
      <c r="D41" t="s">
        <v>69</v>
      </c>
    </row>
    <row r="42" spans="4:4">
      <c r="D42" t="s">
        <v>70</v>
      </c>
    </row>
    <row r="43" spans="4:4">
      <c r="D43" t="s">
        <v>71</v>
      </c>
    </row>
    <row r="44" spans="4:4">
      <c r="D44" t="s">
        <v>72</v>
      </c>
    </row>
    <row r="45" spans="4:4">
      <c r="D45" t="s">
        <v>73</v>
      </c>
    </row>
    <row r="46" spans="4:4">
      <c r="D46" t="s">
        <v>74</v>
      </c>
    </row>
    <row r="47" spans="4:4">
      <c r="D47" t="s">
        <v>75</v>
      </c>
    </row>
    <row r="48" spans="4:4">
      <c r="D48" t="s">
        <v>76</v>
      </c>
    </row>
    <row r="49" spans="4:4">
      <c r="D49" t="s">
        <v>77</v>
      </c>
    </row>
    <row r="50" spans="4:4">
      <c r="D50" t="s">
        <v>78</v>
      </c>
    </row>
    <row r="51" spans="4:4">
      <c r="D51" t="s">
        <v>79</v>
      </c>
    </row>
    <row r="52" spans="4:4">
      <c r="D52" t="s">
        <v>80</v>
      </c>
    </row>
    <row r="53" spans="4:4">
      <c r="D53" t="s">
        <v>81</v>
      </c>
    </row>
    <row r="54" spans="4:4">
      <c r="D54" t="s">
        <v>82</v>
      </c>
    </row>
    <row r="55" spans="4:4">
      <c r="D55" t="s">
        <v>82</v>
      </c>
    </row>
    <row r="56" spans="4:4">
      <c r="D56" t="s">
        <v>83</v>
      </c>
    </row>
    <row r="57" spans="4:4">
      <c r="D57" t="s">
        <v>84</v>
      </c>
    </row>
    <row r="58" spans="4:4">
      <c r="D58" t="s">
        <v>85</v>
      </c>
    </row>
    <row r="59" spans="4:4">
      <c r="D59" t="s">
        <v>86</v>
      </c>
    </row>
    <row r="60" spans="4:4">
      <c r="D60" t="s">
        <v>87</v>
      </c>
    </row>
    <row r="61" spans="4:4">
      <c r="D61" t="s">
        <v>88</v>
      </c>
    </row>
    <row r="62" spans="4:4">
      <c r="D62" t="s">
        <v>89</v>
      </c>
    </row>
    <row r="63" spans="4:4">
      <c r="D63" t="s">
        <v>90</v>
      </c>
    </row>
    <row r="64" spans="4:4">
      <c r="D64" t="s">
        <v>91</v>
      </c>
    </row>
    <row r="65" spans="4:4">
      <c r="D65" t="s">
        <v>92</v>
      </c>
    </row>
    <row r="66" spans="4:4">
      <c r="D66" t="s">
        <v>93</v>
      </c>
    </row>
    <row r="67" spans="4:4">
      <c r="D67" t="s">
        <v>94</v>
      </c>
    </row>
    <row r="68" spans="4:4">
      <c r="D68" t="s">
        <v>95</v>
      </c>
    </row>
    <row r="69" spans="4:4">
      <c r="D69" t="s">
        <v>96</v>
      </c>
    </row>
    <row r="70" spans="4:4">
      <c r="D70" t="s">
        <v>97</v>
      </c>
    </row>
    <row r="71" spans="4:4">
      <c r="D71" t="s">
        <v>98</v>
      </c>
    </row>
    <row r="72" spans="4:4">
      <c r="D72" t="s">
        <v>99</v>
      </c>
    </row>
    <row r="73" spans="4:4">
      <c r="D73" t="s">
        <v>100</v>
      </c>
    </row>
    <row r="74" spans="4:4">
      <c r="D74" t="s">
        <v>101</v>
      </c>
    </row>
    <row r="75" spans="4:4">
      <c r="D75" t="s">
        <v>102</v>
      </c>
    </row>
    <row r="76" spans="4:4">
      <c r="D76" t="s">
        <v>103</v>
      </c>
    </row>
    <row r="77" spans="4:4">
      <c r="D77" t="s">
        <v>104</v>
      </c>
    </row>
    <row r="78" spans="4:4">
      <c r="D78" t="s">
        <v>105</v>
      </c>
    </row>
    <row r="79" spans="4:4">
      <c r="D79" t="s">
        <v>106</v>
      </c>
    </row>
    <row r="80" spans="4:4">
      <c r="D80" t="s">
        <v>107</v>
      </c>
    </row>
    <row r="81" spans="4:4">
      <c r="D81" t="s">
        <v>108</v>
      </c>
    </row>
    <row r="82" spans="4:4">
      <c r="D82" t="s">
        <v>109</v>
      </c>
    </row>
    <row r="83" spans="4:4">
      <c r="D83" t="s">
        <v>110</v>
      </c>
    </row>
    <row r="84" spans="4:4">
      <c r="D84" t="s">
        <v>111</v>
      </c>
    </row>
    <row r="85" spans="4:4">
      <c r="D85" t="s">
        <v>112</v>
      </c>
    </row>
    <row r="86" spans="4:4">
      <c r="D86" t="s">
        <v>113</v>
      </c>
    </row>
    <row r="87" spans="4:4">
      <c r="D87" t="s">
        <v>114</v>
      </c>
    </row>
    <row r="88" spans="4:4">
      <c r="D88" t="s">
        <v>115</v>
      </c>
    </row>
    <row r="89" spans="4:4">
      <c r="D89" t="s">
        <v>116</v>
      </c>
    </row>
    <row r="90" spans="4:4">
      <c r="D90" t="s">
        <v>117</v>
      </c>
    </row>
    <row r="91" spans="4:4">
      <c r="D91" t="s">
        <v>118</v>
      </c>
    </row>
    <row r="92" spans="4:4">
      <c r="D92" t="s">
        <v>119</v>
      </c>
    </row>
    <row r="93" spans="4:4">
      <c r="D93" t="s">
        <v>120</v>
      </c>
    </row>
    <row r="94" spans="4:4">
      <c r="D94" t="s">
        <v>121</v>
      </c>
    </row>
    <row r="95" spans="4:4">
      <c r="D95" t="s">
        <v>122</v>
      </c>
    </row>
    <row r="96" spans="4:4">
      <c r="D96" t="s">
        <v>123</v>
      </c>
    </row>
    <row r="97" spans="4:4">
      <c r="D97" t="s">
        <v>124</v>
      </c>
    </row>
    <row r="98" spans="4:4">
      <c r="D98" t="s">
        <v>125</v>
      </c>
    </row>
    <row r="99" spans="4:4">
      <c r="D99" t="s">
        <v>126</v>
      </c>
    </row>
    <row r="100" spans="4:4">
      <c r="D100" t="s">
        <v>127</v>
      </c>
    </row>
    <row r="101" spans="4:4">
      <c r="D101" t="s">
        <v>128</v>
      </c>
    </row>
    <row r="102" spans="4:4">
      <c r="D102" t="s">
        <v>129</v>
      </c>
    </row>
    <row r="103" spans="4:4">
      <c r="D103" t="s">
        <v>130</v>
      </c>
    </row>
    <row r="104" spans="4:4">
      <c r="D104" t="s">
        <v>131</v>
      </c>
    </row>
    <row r="105" spans="4:4">
      <c r="D105" t="s">
        <v>132</v>
      </c>
    </row>
    <row r="106" spans="4:4">
      <c r="D106" t="s">
        <v>133</v>
      </c>
    </row>
    <row r="107" spans="4:4">
      <c r="D107" t="s">
        <v>134</v>
      </c>
    </row>
    <row r="108" spans="4:4">
      <c r="D108" t="s">
        <v>135</v>
      </c>
    </row>
    <row r="109" spans="4:4">
      <c r="D109" t="s">
        <v>136</v>
      </c>
    </row>
    <row r="110" spans="4:4">
      <c r="D110" t="s">
        <v>137</v>
      </c>
    </row>
    <row r="111" spans="4:4">
      <c r="D111" t="s">
        <v>138</v>
      </c>
    </row>
    <row r="112" spans="4:4">
      <c r="D112" t="s">
        <v>139</v>
      </c>
    </row>
    <row r="113" spans="4:4">
      <c r="D113" t="s">
        <v>140</v>
      </c>
    </row>
    <row r="114" spans="4:4">
      <c r="D114" t="s">
        <v>141</v>
      </c>
    </row>
    <row r="115" spans="4:4">
      <c r="D115" t="s">
        <v>142</v>
      </c>
    </row>
    <row r="116" spans="4:4">
      <c r="D116" t="s">
        <v>143</v>
      </c>
    </row>
    <row r="117" spans="4:4">
      <c r="D117" t="s">
        <v>144</v>
      </c>
    </row>
    <row r="118" spans="4:4">
      <c r="D118" t="s">
        <v>145</v>
      </c>
    </row>
    <row r="119" spans="4:4">
      <c r="D119" t="s">
        <v>146</v>
      </c>
    </row>
    <row r="120" spans="4:4">
      <c r="D120" t="s">
        <v>147</v>
      </c>
    </row>
    <row r="121" spans="4:4">
      <c r="D121" t="s">
        <v>148</v>
      </c>
    </row>
    <row r="122" spans="4:4">
      <c r="D122" t="s">
        <v>149</v>
      </c>
    </row>
    <row r="123" spans="4:4">
      <c r="D123" t="s">
        <v>150</v>
      </c>
    </row>
    <row r="124" spans="4:4">
      <c r="D124" t="s">
        <v>151</v>
      </c>
    </row>
    <row r="125" spans="4:4">
      <c r="D125" t="s">
        <v>152</v>
      </c>
    </row>
    <row r="126" spans="4:4">
      <c r="D126" t="s">
        <v>153</v>
      </c>
    </row>
    <row r="127" spans="4:4">
      <c r="D127" t="s">
        <v>154</v>
      </c>
    </row>
    <row r="128" spans="4:4">
      <c r="D128" t="s">
        <v>155</v>
      </c>
    </row>
    <row r="129" spans="4:4">
      <c r="D129" t="s">
        <v>156</v>
      </c>
    </row>
    <row r="130" spans="4:4">
      <c r="D130" t="s">
        <v>157</v>
      </c>
    </row>
    <row r="131" spans="4:4">
      <c r="D131" t="s">
        <v>158</v>
      </c>
    </row>
    <row r="132" spans="4:4">
      <c r="D132" t="s">
        <v>159</v>
      </c>
    </row>
    <row r="133" spans="4:4">
      <c r="D133" t="s">
        <v>160</v>
      </c>
    </row>
    <row r="134" spans="4:4">
      <c r="D134" t="s">
        <v>161</v>
      </c>
    </row>
    <row r="135" spans="4:4">
      <c r="D135" t="s">
        <v>162</v>
      </c>
    </row>
    <row r="136" spans="4:4">
      <c r="D136" t="s">
        <v>163</v>
      </c>
    </row>
    <row r="137" spans="4:4">
      <c r="D137" t="s">
        <v>164</v>
      </c>
    </row>
    <row r="138" spans="4:4">
      <c r="D138" t="s">
        <v>165</v>
      </c>
    </row>
    <row r="139" spans="4:4">
      <c r="D139" t="s">
        <v>166</v>
      </c>
    </row>
    <row r="140" spans="4:4">
      <c r="D140" t="s">
        <v>167</v>
      </c>
    </row>
    <row r="141" spans="4:4">
      <c r="D141" t="s">
        <v>168</v>
      </c>
    </row>
    <row r="142" spans="4:4">
      <c r="D142" t="s">
        <v>169</v>
      </c>
    </row>
    <row r="143" spans="4:4">
      <c r="D143" t="s">
        <v>95</v>
      </c>
    </row>
    <row r="144" spans="4:4">
      <c r="D144" t="s">
        <v>96</v>
      </c>
    </row>
    <row r="145" spans="4:4">
      <c r="D145" t="s">
        <v>170</v>
      </c>
    </row>
    <row r="146" spans="4:4">
      <c r="D146" t="s">
        <v>171</v>
      </c>
    </row>
    <row r="147" spans="4:4">
      <c r="D147" t="s">
        <v>172</v>
      </c>
    </row>
    <row r="148" spans="4:4">
      <c r="D148" t="s">
        <v>173</v>
      </c>
    </row>
    <row r="149" spans="4:4">
      <c r="D149" t="s">
        <v>174</v>
      </c>
    </row>
    <row r="150" spans="4:4">
      <c r="D150" t="s">
        <v>175</v>
      </c>
    </row>
    <row r="151" spans="4:4">
      <c r="D151" t="s">
        <v>176</v>
      </c>
    </row>
    <row r="152" spans="4:4">
      <c r="D152" t="s">
        <v>177</v>
      </c>
    </row>
    <row r="153" spans="4:4">
      <c r="D153" t="s">
        <v>184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Database</vt:lpstr>
      <vt:lpstr>Stockup_log</vt:lpstr>
      <vt:lpstr>stockup_temp</vt:lpstr>
      <vt:lpstr>Requisition_log</vt:lpstr>
      <vt:lpstr>req_temp</vt:lpstr>
      <vt:lpstr>Admins</vt:lpstr>
      <vt:lpstr>Variables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Oluwasola</dc:creator>
  <cp:lastModifiedBy>Oluwasola</cp:lastModifiedBy>
  <dcterms:created xsi:type="dcterms:W3CDTF">2022-09-01T12:51:25Z</dcterms:created>
  <dcterms:modified xsi:type="dcterms:W3CDTF">2022-09-11T04:54:46Z</dcterms:modified>
</cp:coreProperties>
</file>